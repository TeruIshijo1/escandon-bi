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hospitalescandon-my.sharepoint.com/personal/jefaturafarmacia_hospitalescandon_org/Documents/Farmacia 2025/"/>
    </mc:Choice>
  </mc:AlternateContent>
  <xr:revisionPtr revIDLastSave="25" documentId="8_{1ECFBE2E-AF1B-41AF-9F14-DB7E1A5966DA}" xr6:coauthVersionLast="47" xr6:coauthVersionMax="47" xr10:uidLastSave="{91DD98B1-EE6C-4A86-A931-EBEA729D8EEB}"/>
  <bookViews>
    <workbookView xWindow="-120" yWindow="-120" windowWidth="20730" windowHeight="11160" xr2:uid="{00000000-000D-0000-FFFF-FFFF00000000}"/>
  </bookViews>
  <sheets>
    <sheet name="Puntos de Reorden (TRABAJ)" sheetId="6" r:id="rId1"/>
  </sheets>
  <definedNames>
    <definedName name="_xlnm._FilterDatabase" localSheetId="0" hidden="1">'Puntos de Reorden (TRABAJ)'!$P$1:$P$5187</definedName>
    <definedName name="Reporte" localSheetId="0">'Puntos de Reorden (TRABAJ)'!#REF!</definedName>
    <definedName name="Reporte_1" localSheetId="0">'Puntos de Reorden (TRABAJ)'!#REF!</definedName>
  </definedName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6" l="1"/>
  <c r="P1114" i="6"/>
  <c r="Q1114" i="6" s="1"/>
  <c r="P1113" i="6"/>
  <c r="Q1113" i="6" s="1"/>
  <c r="T1113" i="6" s="1"/>
  <c r="P1112" i="6"/>
  <c r="Q1112" i="6" s="1"/>
  <c r="P1111" i="6"/>
  <c r="Q1111" i="6" s="1"/>
  <c r="R1111" i="6" s="1"/>
  <c r="P1110" i="6"/>
  <c r="Q1110" i="6" s="1"/>
  <c r="P1109" i="6"/>
  <c r="Q1109" i="6" s="1"/>
  <c r="R1109" i="6" s="1"/>
  <c r="P1108" i="6"/>
  <c r="Q1108" i="6" s="1"/>
  <c r="R1108" i="6" s="1"/>
  <c r="P1107" i="6"/>
  <c r="Q1107" i="6" s="1"/>
  <c r="R1107" i="6" s="1"/>
  <c r="P1106" i="6"/>
  <c r="Q1106" i="6" s="1"/>
  <c r="P1105" i="6"/>
  <c r="Q1105" i="6" s="1"/>
  <c r="T1105" i="6" s="1"/>
  <c r="P1104" i="6"/>
  <c r="Q1104" i="6" s="1"/>
  <c r="P1103" i="6"/>
  <c r="Q1103" i="6" s="1"/>
  <c r="R1103" i="6" s="1"/>
  <c r="P1102" i="6"/>
  <c r="Q1102" i="6" s="1"/>
  <c r="P1101" i="6"/>
  <c r="Q1101" i="6" s="1"/>
  <c r="S1101" i="6" s="1"/>
  <c r="P1100" i="6"/>
  <c r="Q1100" i="6" s="1"/>
  <c r="R1100" i="6" s="1"/>
  <c r="P1099" i="6"/>
  <c r="Q1099" i="6" s="1"/>
  <c r="T1099" i="6" s="1"/>
  <c r="P1098" i="6"/>
  <c r="Q1098" i="6" s="1"/>
  <c r="P1097" i="6"/>
  <c r="Q1097" i="6" s="1"/>
  <c r="T1097" i="6" s="1"/>
  <c r="P1096" i="6"/>
  <c r="Q1096" i="6" s="1"/>
  <c r="P1095" i="6"/>
  <c r="Q1095" i="6" s="1"/>
  <c r="P1094" i="6"/>
  <c r="Q1094" i="6" s="1"/>
  <c r="P1093" i="6"/>
  <c r="Q1093" i="6" s="1"/>
  <c r="R1093" i="6" s="1"/>
  <c r="P1092" i="6"/>
  <c r="Q1092" i="6" s="1"/>
  <c r="T1092" i="6" s="1"/>
  <c r="P1091" i="6"/>
  <c r="Q1091" i="6" s="1"/>
  <c r="P1090" i="6"/>
  <c r="Q1090" i="6" s="1"/>
  <c r="P1089" i="6"/>
  <c r="Q1089" i="6" s="1"/>
  <c r="P1088" i="6"/>
  <c r="Q1088" i="6" s="1"/>
  <c r="P1087" i="6"/>
  <c r="Q1087" i="6" s="1"/>
  <c r="T1087" i="6" s="1"/>
  <c r="P1086" i="6"/>
  <c r="Q1086" i="6" s="1"/>
  <c r="P1085" i="6"/>
  <c r="Q1085" i="6" s="1"/>
  <c r="T1085" i="6" s="1"/>
  <c r="P1084" i="6"/>
  <c r="Q1084" i="6" s="1"/>
  <c r="R1084" i="6" s="1"/>
  <c r="P1083" i="6"/>
  <c r="Q1083" i="6" s="1"/>
  <c r="P1082" i="6"/>
  <c r="Q1082" i="6" s="1"/>
  <c r="P1081" i="6"/>
  <c r="Q1081" i="6" s="1"/>
  <c r="P1080" i="6"/>
  <c r="Q1080" i="6" s="1"/>
  <c r="T1080" i="6" s="1"/>
  <c r="P1079" i="6"/>
  <c r="Q1079" i="6" s="1"/>
  <c r="R1079" i="6" s="1"/>
  <c r="P1078" i="6"/>
  <c r="Q1078" i="6" s="1"/>
  <c r="P1077" i="6"/>
  <c r="Q1077" i="6" s="1"/>
  <c r="R1077" i="6" s="1"/>
  <c r="P1076" i="6"/>
  <c r="Q1076" i="6" s="1"/>
  <c r="R1076" i="6" s="1"/>
  <c r="P1075" i="6"/>
  <c r="Q1075" i="6" s="1"/>
  <c r="P1074" i="6"/>
  <c r="Q1074" i="6" s="1"/>
  <c r="P1073" i="6"/>
  <c r="Q1073" i="6" s="1"/>
  <c r="T1073" i="6" s="1"/>
  <c r="P1072" i="6"/>
  <c r="Q1072" i="6" s="1"/>
  <c r="P1071" i="6"/>
  <c r="Q1071" i="6" s="1"/>
  <c r="P1070" i="6"/>
  <c r="Q1070" i="6" s="1"/>
  <c r="P1069" i="6"/>
  <c r="Q1069" i="6" s="1"/>
  <c r="S1069" i="6" s="1"/>
  <c r="P1068" i="6"/>
  <c r="Q1068" i="6" s="1"/>
  <c r="T1068" i="6" s="1"/>
  <c r="P1067" i="6"/>
  <c r="Q1067" i="6" s="1"/>
  <c r="P1066" i="6"/>
  <c r="Q1066" i="6" s="1"/>
  <c r="P1065" i="6"/>
  <c r="Q1065" i="6" s="1"/>
  <c r="P1064" i="6"/>
  <c r="Q1064" i="6" s="1"/>
  <c r="P1063" i="6"/>
  <c r="Q1063" i="6" s="1"/>
  <c r="R1063" i="6" s="1"/>
  <c r="P1062" i="6"/>
  <c r="Q1062" i="6" s="1"/>
  <c r="P1061" i="6"/>
  <c r="Q1061" i="6" s="1"/>
  <c r="R1061" i="6" s="1"/>
  <c r="P1060" i="6"/>
  <c r="Q1060" i="6" s="1"/>
  <c r="P1059" i="6"/>
  <c r="Q1059" i="6" s="1"/>
  <c r="R1059" i="6" s="1"/>
  <c r="P1058" i="6"/>
  <c r="Q1058" i="6" s="1"/>
  <c r="P1057" i="6"/>
  <c r="Q1057" i="6" s="1"/>
  <c r="T1057" i="6" s="1"/>
  <c r="P1056" i="6"/>
  <c r="Q1056" i="6" s="1"/>
  <c r="P1055" i="6"/>
  <c r="Q1055" i="6" s="1"/>
  <c r="P1054" i="6"/>
  <c r="Q1054" i="6" s="1"/>
  <c r="P1053" i="6"/>
  <c r="Q1053" i="6" s="1"/>
  <c r="T1053" i="6" s="1"/>
  <c r="P1052" i="6"/>
  <c r="Q1052" i="6" s="1"/>
  <c r="R1052" i="6" s="1"/>
  <c r="P1051" i="6"/>
  <c r="Q1051" i="6" s="1"/>
  <c r="P1050" i="6"/>
  <c r="Q1050" i="6" s="1"/>
  <c r="P1049" i="6"/>
  <c r="Q1049" i="6" s="1"/>
  <c r="T1049" i="6" s="1"/>
  <c r="P1048" i="6"/>
  <c r="Q1048" i="6" s="1"/>
  <c r="T1048" i="6" s="1"/>
  <c r="P1047" i="6"/>
  <c r="Q1047" i="6" s="1"/>
  <c r="P1046" i="6"/>
  <c r="Q1046" i="6" s="1"/>
  <c r="P1045" i="6"/>
  <c r="Q1045" i="6" s="1"/>
  <c r="R1045" i="6" s="1"/>
  <c r="P1044" i="6"/>
  <c r="Q1044" i="6" s="1"/>
  <c r="P1043" i="6"/>
  <c r="Q1043" i="6" s="1"/>
  <c r="R1043" i="6" s="1"/>
  <c r="P1042" i="6"/>
  <c r="Q1042" i="6" s="1"/>
  <c r="P1041" i="6"/>
  <c r="Q1041" i="6" s="1"/>
  <c r="T1041" i="6" s="1"/>
  <c r="P1040" i="6"/>
  <c r="Q1040" i="6" s="1"/>
  <c r="T1040" i="6" s="1"/>
  <c r="P1039" i="6"/>
  <c r="Q1039" i="6" s="1"/>
  <c r="R1039" i="6" s="1"/>
  <c r="P1038" i="6"/>
  <c r="Q1038" i="6" s="1"/>
  <c r="P1037" i="6"/>
  <c r="Q1037" i="6" s="1"/>
  <c r="S1037" i="6" s="1"/>
  <c r="P1036" i="6"/>
  <c r="Q1036" i="6" s="1"/>
  <c r="R1036" i="6" s="1"/>
  <c r="P1035" i="6"/>
  <c r="Q1035" i="6" s="1"/>
  <c r="P1034" i="6"/>
  <c r="Q1034" i="6" s="1"/>
  <c r="P1033" i="6"/>
  <c r="Q1033" i="6" s="1"/>
  <c r="T1033" i="6" s="1"/>
  <c r="P1032" i="6"/>
  <c r="Q1032" i="6" s="1"/>
  <c r="R1032" i="6" s="1"/>
  <c r="P1031" i="6"/>
  <c r="Q1031" i="6" s="1"/>
  <c r="R1031" i="6" s="1"/>
  <c r="P1030" i="6"/>
  <c r="Q1030" i="6" s="1"/>
  <c r="P1029" i="6"/>
  <c r="Q1029" i="6" s="1"/>
  <c r="R1029" i="6" s="1"/>
  <c r="P1028" i="6"/>
  <c r="Q1028" i="6" s="1"/>
  <c r="T1028" i="6" s="1"/>
  <c r="P1027" i="6"/>
  <c r="Q1027" i="6" s="1"/>
  <c r="P1026" i="6"/>
  <c r="Q1026" i="6" s="1"/>
  <c r="P1025" i="6"/>
  <c r="Q1025" i="6" s="1"/>
  <c r="T1025" i="6" s="1"/>
  <c r="P1024" i="6"/>
  <c r="Q1024" i="6" s="1"/>
  <c r="P1023" i="6"/>
  <c r="Q1023" i="6" s="1"/>
  <c r="P1022" i="6"/>
  <c r="Q1022" i="6" s="1"/>
  <c r="P1021" i="6"/>
  <c r="Q1021" i="6" s="1"/>
  <c r="P1020" i="6"/>
  <c r="Q1020" i="6" s="1"/>
  <c r="R1020" i="6" s="1"/>
  <c r="P1019" i="6"/>
  <c r="Q1019" i="6" s="1"/>
  <c r="R1019" i="6" s="1"/>
  <c r="P1018" i="6"/>
  <c r="Q1018" i="6" s="1"/>
  <c r="P1017" i="6"/>
  <c r="Q1017" i="6" s="1"/>
  <c r="S1017" i="6" s="1"/>
  <c r="P1016" i="6"/>
  <c r="Q1016" i="6" s="1"/>
  <c r="P1015" i="6"/>
  <c r="Q1015" i="6" s="1"/>
  <c r="T1015" i="6" s="1"/>
  <c r="P1014" i="6"/>
  <c r="Q1014" i="6" s="1"/>
  <c r="P1013" i="6"/>
  <c r="Q1013" i="6" s="1"/>
  <c r="S1013" i="6" s="1"/>
  <c r="P1012" i="6"/>
  <c r="Q1012" i="6" s="1"/>
  <c r="T1012" i="6" s="1"/>
  <c r="P1011" i="6"/>
  <c r="Q1011" i="6" s="1"/>
  <c r="P1010" i="6"/>
  <c r="Q1010" i="6" s="1"/>
  <c r="P1009" i="6"/>
  <c r="Q1009" i="6" s="1"/>
  <c r="P1008" i="6"/>
  <c r="Q1008" i="6" s="1"/>
  <c r="P1007" i="6"/>
  <c r="Q1007" i="6" s="1"/>
  <c r="T1007" i="6" s="1"/>
  <c r="P1006" i="6"/>
  <c r="Q1006" i="6" s="1"/>
  <c r="P1005" i="6"/>
  <c r="Q1005" i="6" s="1"/>
  <c r="P1004" i="6"/>
  <c r="Q1004" i="6" s="1"/>
  <c r="T1004" i="6" s="1"/>
  <c r="P1003" i="6"/>
  <c r="Q1003" i="6" s="1"/>
  <c r="P1002" i="6"/>
  <c r="Q1002" i="6" s="1"/>
  <c r="P1001" i="6"/>
  <c r="Q1001" i="6" s="1"/>
  <c r="T1001" i="6" s="1"/>
  <c r="P1000" i="6"/>
  <c r="Q1000" i="6" s="1"/>
  <c r="P999" i="6"/>
  <c r="Q999" i="6" s="1"/>
  <c r="P998" i="6"/>
  <c r="Q998" i="6" s="1"/>
  <c r="P997" i="6"/>
  <c r="Q997" i="6" s="1"/>
  <c r="P996" i="6"/>
  <c r="Q996" i="6" s="1"/>
  <c r="R996" i="6" s="1"/>
  <c r="P995" i="6"/>
  <c r="Q995" i="6" s="1"/>
  <c r="P994" i="6"/>
  <c r="Q994" i="6" s="1"/>
  <c r="P993" i="6"/>
  <c r="Q993" i="6" s="1"/>
  <c r="S993" i="6" s="1"/>
  <c r="P992" i="6"/>
  <c r="Q992" i="6" s="1"/>
  <c r="P991" i="6"/>
  <c r="Q991" i="6" s="1"/>
  <c r="R991" i="6" s="1"/>
  <c r="P990" i="6"/>
  <c r="Q990" i="6" s="1"/>
  <c r="P989" i="6"/>
  <c r="Q989" i="6" s="1"/>
  <c r="P988" i="6"/>
  <c r="Q988" i="6" s="1"/>
  <c r="T988" i="6" s="1"/>
  <c r="P987" i="6"/>
  <c r="Q987" i="6" s="1"/>
  <c r="P986" i="6"/>
  <c r="Q986" i="6" s="1"/>
  <c r="P985" i="6"/>
  <c r="Q985" i="6" s="1"/>
  <c r="S985" i="6" s="1"/>
  <c r="P984" i="6"/>
  <c r="Q984" i="6" s="1"/>
  <c r="P983" i="6"/>
  <c r="Q983" i="6" s="1"/>
  <c r="R983" i="6" s="1"/>
  <c r="P982" i="6"/>
  <c r="Q982" i="6" s="1"/>
  <c r="P981" i="6"/>
  <c r="Q981" i="6" s="1"/>
  <c r="S981" i="6" s="1"/>
  <c r="P980" i="6"/>
  <c r="Q980" i="6" s="1"/>
  <c r="T980" i="6" s="1"/>
  <c r="P979" i="6"/>
  <c r="Q979" i="6" s="1"/>
  <c r="P978" i="6"/>
  <c r="Q978" i="6" s="1"/>
  <c r="P977" i="6"/>
  <c r="Q977" i="6" s="1"/>
  <c r="S977" i="6" s="1"/>
  <c r="P976" i="6"/>
  <c r="Q976" i="6" s="1"/>
  <c r="P975" i="6"/>
  <c r="Q975" i="6" s="1"/>
  <c r="R975" i="6" s="1"/>
  <c r="P974" i="6"/>
  <c r="Q974" i="6" s="1"/>
  <c r="P973" i="6"/>
  <c r="Q973" i="6" s="1"/>
  <c r="P972" i="6"/>
  <c r="Q972" i="6" s="1"/>
  <c r="R972" i="6" s="1"/>
  <c r="P971" i="6"/>
  <c r="Q971" i="6" s="1"/>
  <c r="P970" i="6"/>
  <c r="Q970" i="6" s="1"/>
  <c r="P969" i="6"/>
  <c r="Q969" i="6" s="1"/>
  <c r="T969" i="6" s="1"/>
  <c r="P968" i="6"/>
  <c r="Q968" i="6" s="1"/>
  <c r="R968" i="6" s="1"/>
  <c r="P967" i="6"/>
  <c r="Q967" i="6" s="1"/>
  <c r="P966" i="6"/>
  <c r="Q966" i="6" s="1"/>
  <c r="P965" i="6"/>
  <c r="Q965" i="6" s="1"/>
  <c r="S965" i="6" s="1"/>
  <c r="P964" i="6"/>
  <c r="Q964" i="6" s="1"/>
  <c r="P963" i="6"/>
  <c r="Q963" i="6" s="1"/>
  <c r="R963" i="6" s="1"/>
  <c r="P962" i="6"/>
  <c r="Q962" i="6" s="1"/>
  <c r="P961" i="6"/>
  <c r="Q961" i="6" s="1"/>
  <c r="T961" i="6" s="1"/>
  <c r="P960" i="6"/>
  <c r="Q960" i="6" s="1"/>
  <c r="R960" i="6" s="1"/>
  <c r="P959" i="6"/>
  <c r="Q959" i="6" s="1"/>
  <c r="P958" i="6"/>
  <c r="Q958" i="6" s="1"/>
  <c r="P957" i="6"/>
  <c r="Q957" i="6" s="1"/>
  <c r="P956" i="6"/>
  <c r="Q956" i="6" s="1"/>
  <c r="P955" i="6"/>
  <c r="Q955" i="6" s="1"/>
  <c r="R955" i="6" s="1"/>
  <c r="P954" i="6"/>
  <c r="Q954" i="6" s="1"/>
  <c r="P953" i="6"/>
  <c r="Q953" i="6" s="1"/>
  <c r="T953" i="6" s="1"/>
  <c r="P952" i="6"/>
  <c r="Q952" i="6" s="1"/>
  <c r="P951" i="6"/>
  <c r="Q951" i="6" s="1"/>
  <c r="P950" i="6"/>
  <c r="Q950" i="6" s="1"/>
  <c r="P949" i="6"/>
  <c r="Q949" i="6" s="1"/>
  <c r="S949" i="6" s="1"/>
  <c r="P948" i="6"/>
  <c r="Q948" i="6" s="1"/>
  <c r="P947" i="6"/>
  <c r="Q947" i="6" s="1"/>
  <c r="R947" i="6" s="1"/>
  <c r="P946" i="6"/>
  <c r="Q946" i="6" s="1"/>
  <c r="P945" i="6"/>
  <c r="Q945" i="6" s="1"/>
  <c r="S945" i="6" s="1"/>
  <c r="P944" i="6"/>
  <c r="Q944" i="6" s="1"/>
  <c r="R944" i="6" s="1"/>
  <c r="P943" i="6"/>
  <c r="Q943" i="6" s="1"/>
  <c r="R943" i="6" s="1"/>
  <c r="P942" i="6"/>
  <c r="Q942" i="6" s="1"/>
  <c r="P941" i="6"/>
  <c r="Q941" i="6" s="1"/>
  <c r="T941" i="6" s="1"/>
  <c r="P940" i="6"/>
  <c r="Q940" i="6" s="1"/>
  <c r="R940" i="6" s="1"/>
  <c r="P939" i="6"/>
  <c r="Q939" i="6" s="1"/>
  <c r="P938" i="6"/>
  <c r="Q938" i="6" s="1"/>
  <c r="P937" i="6"/>
  <c r="Q937" i="6" s="1"/>
  <c r="P936" i="6"/>
  <c r="Q936" i="6" s="1"/>
  <c r="P935" i="6"/>
  <c r="Q935" i="6" s="1"/>
  <c r="P934" i="6"/>
  <c r="Q934" i="6" s="1"/>
  <c r="P933" i="6"/>
  <c r="Q933" i="6" s="1"/>
  <c r="P932" i="6"/>
  <c r="Q932" i="6" s="1"/>
  <c r="R932" i="6" s="1"/>
  <c r="P931" i="6"/>
  <c r="Q931" i="6" s="1"/>
  <c r="P930" i="6"/>
  <c r="Q930" i="6" s="1"/>
  <c r="P929" i="6"/>
  <c r="Q929" i="6" s="1"/>
  <c r="S929" i="6" s="1"/>
  <c r="P928" i="6"/>
  <c r="Q928" i="6" s="1"/>
  <c r="P927" i="6"/>
  <c r="Q927" i="6" s="1"/>
  <c r="P926" i="6"/>
  <c r="Q926" i="6" s="1"/>
  <c r="P925" i="6"/>
  <c r="Q925" i="6" s="1"/>
  <c r="P924" i="6"/>
  <c r="Q924" i="6" s="1"/>
  <c r="R924" i="6" s="1"/>
  <c r="P923" i="6"/>
  <c r="Q923" i="6" s="1"/>
  <c r="P922" i="6"/>
  <c r="Q922" i="6" s="1"/>
  <c r="P921" i="6"/>
  <c r="Q921" i="6" s="1"/>
  <c r="S921" i="6" s="1"/>
  <c r="P920" i="6"/>
  <c r="Q920" i="6" s="1"/>
  <c r="P919" i="6"/>
  <c r="Q919" i="6" s="1"/>
  <c r="P918" i="6"/>
  <c r="Q918" i="6" s="1"/>
  <c r="P917" i="6"/>
  <c r="Q917" i="6" s="1"/>
  <c r="P916" i="6"/>
  <c r="Q916" i="6" s="1"/>
  <c r="R916" i="6" s="1"/>
  <c r="P915" i="6"/>
  <c r="Q915" i="6" s="1"/>
  <c r="P914" i="6"/>
  <c r="Q914" i="6" s="1"/>
  <c r="P913" i="6"/>
  <c r="Q913" i="6" s="1"/>
  <c r="S913" i="6" s="1"/>
  <c r="P912" i="6"/>
  <c r="Q912" i="6" s="1"/>
  <c r="P911" i="6"/>
  <c r="Q911" i="6" s="1"/>
  <c r="P910" i="6"/>
  <c r="Q910" i="6" s="1"/>
  <c r="P909" i="6"/>
  <c r="Q909" i="6" s="1"/>
  <c r="P908" i="6"/>
  <c r="Q908" i="6" s="1"/>
  <c r="R908" i="6" s="1"/>
  <c r="P907" i="6"/>
  <c r="Q907" i="6" s="1"/>
  <c r="P906" i="6"/>
  <c r="Q906" i="6" s="1"/>
  <c r="P905" i="6"/>
  <c r="Q905" i="6" s="1"/>
  <c r="P904" i="6"/>
  <c r="Q904" i="6" s="1"/>
  <c r="P903" i="6"/>
  <c r="Q903" i="6" s="1"/>
  <c r="P902" i="6"/>
  <c r="Q902" i="6" s="1"/>
  <c r="P901" i="6"/>
  <c r="Q901" i="6" s="1"/>
  <c r="P900" i="6"/>
  <c r="Q900" i="6" s="1"/>
  <c r="R900" i="6" s="1"/>
  <c r="P899" i="6"/>
  <c r="Q899" i="6" s="1"/>
  <c r="P898" i="6"/>
  <c r="Q898" i="6" s="1"/>
  <c r="P897" i="6"/>
  <c r="Q897" i="6" s="1"/>
  <c r="T897" i="6" s="1"/>
  <c r="P896" i="6"/>
  <c r="Q896" i="6" s="1"/>
  <c r="R896" i="6" s="1"/>
  <c r="P895" i="6"/>
  <c r="Q895" i="6" s="1"/>
  <c r="P894" i="6"/>
  <c r="Q894" i="6" s="1"/>
  <c r="P893" i="6"/>
  <c r="Q893" i="6" s="1"/>
  <c r="P892" i="6"/>
  <c r="Q892" i="6" s="1"/>
  <c r="P891" i="6"/>
  <c r="Q891" i="6" s="1"/>
  <c r="R891" i="6" s="1"/>
  <c r="P890" i="6"/>
  <c r="Q890" i="6" s="1"/>
  <c r="P889" i="6"/>
  <c r="Q889" i="6" s="1"/>
  <c r="S889" i="6" s="1"/>
  <c r="P888" i="6"/>
  <c r="Q888" i="6" s="1"/>
  <c r="P887" i="6"/>
  <c r="Q887" i="6" s="1"/>
  <c r="R887" i="6" s="1"/>
  <c r="P886" i="6"/>
  <c r="Q886" i="6" s="1"/>
  <c r="P885" i="6"/>
  <c r="Q885" i="6" s="1"/>
  <c r="P884" i="6"/>
  <c r="Q884" i="6" s="1"/>
  <c r="R884" i="6" s="1"/>
  <c r="P883" i="6"/>
  <c r="Q883" i="6" s="1"/>
  <c r="P882" i="6"/>
  <c r="Q882" i="6" s="1"/>
  <c r="P881" i="6"/>
  <c r="Q881" i="6" s="1"/>
  <c r="T881" i="6" s="1"/>
  <c r="P880" i="6"/>
  <c r="Q880" i="6" s="1"/>
  <c r="R880" i="6" s="1"/>
  <c r="P879" i="6"/>
  <c r="Q879" i="6" s="1"/>
  <c r="P878" i="6"/>
  <c r="Q878" i="6" s="1"/>
  <c r="P877" i="6"/>
  <c r="Q877" i="6" s="1"/>
  <c r="P876" i="6"/>
  <c r="Q876" i="6" s="1"/>
  <c r="R876" i="6" s="1"/>
  <c r="P875" i="6"/>
  <c r="Q875" i="6" s="1"/>
  <c r="P874" i="6"/>
  <c r="Q874" i="6" s="1"/>
  <c r="P873" i="6"/>
  <c r="Q873" i="6" s="1"/>
  <c r="P872" i="6"/>
  <c r="Q872" i="6" s="1"/>
  <c r="R872" i="6" s="1"/>
  <c r="P871" i="6"/>
  <c r="Q871" i="6" s="1"/>
  <c r="R871" i="6" s="1"/>
  <c r="P870" i="6"/>
  <c r="Q870" i="6" s="1"/>
  <c r="P869" i="6"/>
  <c r="Q869" i="6" s="1"/>
  <c r="P868" i="6"/>
  <c r="Q868" i="6" s="1"/>
  <c r="R868" i="6" s="1"/>
  <c r="P867" i="6"/>
  <c r="Q867" i="6" s="1"/>
  <c r="P866" i="6"/>
  <c r="Q866" i="6" s="1"/>
  <c r="P865" i="6"/>
  <c r="Q865" i="6" s="1"/>
  <c r="T865" i="6" s="1"/>
  <c r="P864" i="6"/>
  <c r="Q864" i="6" s="1"/>
  <c r="P863" i="6"/>
  <c r="Q863" i="6" s="1"/>
  <c r="P862" i="6"/>
  <c r="Q862" i="6" s="1"/>
  <c r="P861" i="6"/>
  <c r="Q861" i="6" s="1"/>
  <c r="P860" i="6"/>
  <c r="Q860" i="6" s="1"/>
  <c r="R860" i="6" s="1"/>
  <c r="P859" i="6"/>
  <c r="Q859" i="6" s="1"/>
  <c r="R859" i="6" s="1"/>
  <c r="P858" i="6"/>
  <c r="Q858" i="6" s="1"/>
  <c r="T858" i="6" s="1"/>
  <c r="P857" i="6"/>
  <c r="Q857" i="6" s="1"/>
  <c r="P856" i="6"/>
  <c r="Q856" i="6" s="1"/>
  <c r="P855" i="6"/>
  <c r="Q855" i="6" s="1"/>
  <c r="P854" i="6"/>
  <c r="Q854" i="6" s="1"/>
  <c r="P853" i="6"/>
  <c r="Q853" i="6" s="1"/>
  <c r="P852" i="6"/>
  <c r="Q852" i="6" s="1"/>
  <c r="R852" i="6" s="1"/>
  <c r="P851" i="6"/>
  <c r="Q851" i="6" s="1"/>
  <c r="P850" i="6"/>
  <c r="Q850" i="6" s="1"/>
  <c r="P849" i="6"/>
  <c r="Q849" i="6" s="1"/>
  <c r="T849" i="6" s="1"/>
  <c r="P848" i="6"/>
  <c r="Q848" i="6" s="1"/>
  <c r="P847" i="6"/>
  <c r="Q847" i="6" s="1"/>
  <c r="P846" i="6"/>
  <c r="Q846" i="6" s="1"/>
  <c r="T846" i="6" s="1"/>
  <c r="P845" i="6"/>
  <c r="Q845" i="6" s="1"/>
  <c r="P844" i="6"/>
  <c r="Q844" i="6" s="1"/>
  <c r="P843" i="6"/>
  <c r="Q843" i="6" s="1"/>
  <c r="R843" i="6" s="1"/>
  <c r="P842" i="6"/>
  <c r="Q842" i="6" s="1"/>
  <c r="P841" i="6"/>
  <c r="Q841" i="6" s="1"/>
  <c r="P840" i="6"/>
  <c r="Q840" i="6" s="1"/>
  <c r="R840" i="6" s="1"/>
  <c r="P839" i="6"/>
  <c r="Q839" i="6" s="1"/>
  <c r="R839" i="6" s="1"/>
  <c r="P838" i="6"/>
  <c r="Q838" i="6" s="1"/>
  <c r="P837" i="6"/>
  <c r="Q837" i="6" s="1"/>
  <c r="P836" i="6"/>
  <c r="Q836" i="6" s="1"/>
  <c r="R836" i="6" s="1"/>
  <c r="P835" i="6"/>
  <c r="Q835" i="6" s="1"/>
  <c r="P834" i="6"/>
  <c r="Q834" i="6" s="1"/>
  <c r="P833" i="6"/>
  <c r="Q833" i="6" s="1"/>
  <c r="T833" i="6" s="1"/>
  <c r="P832" i="6"/>
  <c r="Q832" i="6" s="1"/>
  <c r="R832" i="6" s="1"/>
  <c r="P831" i="6"/>
  <c r="Q831" i="6" s="1"/>
  <c r="P830" i="6"/>
  <c r="Q830" i="6" s="1"/>
  <c r="T830" i="6" s="1"/>
  <c r="P829" i="6"/>
  <c r="Q829" i="6" s="1"/>
  <c r="P828" i="6"/>
  <c r="Q828" i="6" s="1"/>
  <c r="P827" i="6"/>
  <c r="Q827" i="6" s="1"/>
  <c r="R827" i="6" s="1"/>
  <c r="P826" i="6"/>
  <c r="Q826" i="6" s="1"/>
  <c r="P825" i="6"/>
  <c r="Q825" i="6" s="1"/>
  <c r="S825" i="6" s="1"/>
  <c r="P824" i="6"/>
  <c r="Q824" i="6" s="1"/>
  <c r="P823" i="6"/>
  <c r="Q823" i="6" s="1"/>
  <c r="R823" i="6" s="1"/>
  <c r="P822" i="6"/>
  <c r="Q822" i="6" s="1"/>
  <c r="P821" i="6"/>
  <c r="Q821" i="6" s="1"/>
  <c r="P820" i="6"/>
  <c r="Q820" i="6" s="1"/>
  <c r="P819" i="6"/>
  <c r="Q819" i="6" s="1"/>
  <c r="P818" i="6"/>
  <c r="Q818" i="6" s="1"/>
  <c r="P817" i="6"/>
  <c r="Q817" i="6" s="1"/>
  <c r="T817" i="6" s="1"/>
  <c r="P816" i="6"/>
  <c r="Q816" i="6" s="1"/>
  <c r="P815" i="6"/>
  <c r="Q815" i="6" s="1"/>
  <c r="P814" i="6"/>
  <c r="Q814" i="6" s="1"/>
  <c r="T814" i="6" s="1"/>
  <c r="P813" i="6"/>
  <c r="Q813" i="6" s="1"/>
  <c r="P812" i="6"/>
  <c r="Q812" i="6" s="1"/>
  <c r="P811" i="6"/>
  <c r="Q811" i="6" s="1"/>
  <c r="R811" i="6" s="1"/>
  <c r="P810" i="6"/>
  <c r="Q810" i="6" s="1"/>
  <c r="P809" i="6"/>
  <c r="Q809" i="6" s="1"/>
  <c r="P808" i="6"/>
  <c r="Q808" i="6" s="1"/>
  <c r="R808" i="6" s="1"/>
  <c r="P807" i="6"/>
  <c r="Q807" i="6" s="1"/>
  <c r="P806" i="6"/>
  <c r="Q806" i="6" s="1"/>
  <c r="P805" i="6"/>
  <c r="Q805" i="6" s="1"/>
  <c r="P804" i="6"/>
  <c r="Q804" i="6" s="1"/>
  <c r="P803" i="6"/>
  <c r="Q803" i="6" s="1"/>
  <c r="P802" i="6"/>
  <c r="Q802" i="6" s="1"/>
  <c r="P801" i="6"/>
  <c r="Q801" i="6" s="1"/>
  <c r="S801" i="6" s="1"/>
  <c r="P800" i="6"/>
  <c r="Q800" i="6" s="1"/>
  <c r="P799" i="6"/>
  <c r="Q799" i="6" s="1"/>
  <c r="R799" i="6" s="1"/>
  <c r="P798" i="6"/>
  <c r="Q798" i="6" s="1"/>
  <c r="P797" i="6"/>
  <c r="Q797" i="6" s="1"/>
  <c r="P796" i="6"/>
  <c r="Q796" i="6" s="1"/>
  <c r="R796" i="6" s="1"/>
  <c r="P795" i="6"/>
  <c r="Q795" i="6" s="1"/>
  <c r="R795" i="6" s="1"/>
  <c r="P794" i="6"/>
  <c r="Q794" i="6" s="1"/>
  <c r="P793" i="6"/>
  <c r="Q793" i="6" s="1"/>
  <c r="P792" i="6"/>
  <c r="Q792" i="6" s="1"/>
  <c r="R792" i="6" s="1"/>
  <c r="P791" i="6"/>
  <c r="Q791" i="6" s="1"/>
  <c r="P790" i="6"/>
  <c r="Q790" i="6" s="1"/>
  <c r="P789" i="6"/>
  <c r="Q789" i="6" s="1"/>
  <c r="T789" i="6" s="1"/>
  <c r="P788" i="6"/>
  <c r="Q788" i="6" s="1"/>
  <c r="R788" i="6" s="1"/>
  <c r="P787" i="6"/>
  <c r="Q787" i="6" s="1"/>
  <c r="P786" i="6"/>
  <c r="Q786" i="6" s="1"/>
  <c r="T786" i="6" s="1"/>
  <c r="P785" i="6"/>
  <c r="Q785" i="6" s="1"/>
  <c r="S785" i="6" s="1"/>
  <c r="P784" i="6"/>
  <c r="Q784" i="6" s="1"/>
  <c r="P783" i="6"/>
  <c r="Q783" i="6" s="1"/>
  <c r="R783" i="6" s="1"/>
  <c r="P782" i="6"/>
  <c r="Q782" i="6" s="1"/>
  <c r="P781" i="6"/>
  <c r="Q781" i="6" s="1"/>
  <c r="P780" i="6"/>
  <c r="Q780" i="6" s="1"/>
  <c r="P779" i="6"/>
  <c r="Q779" i="6" s="1"/>
  <c r="R779" i="6" s="1"/>
  <c r="P778" i="6"/>
  <c r="Q778" i="6" s="1"/>
  <c r="P777" i="6"/>
  <c r="Q777" i="6" s="1"/>
  <c r="P776" i="6"/>
  <c r="Q776" i="6" s="1"/>
  <c r="P775" i="6"/>
  <c r="Q775" i="6" s="1"/>
  <c r="P774" i="6"/>
  <c r="Q774" i="6" s="1"/>
  <c r="P773" i="6"/>
  <c r="Q773" i="6" s="1"/>
  <c r="T773" i="6" s="1"/>
  <c r="P772" i="6"/>
  <c r="Q772" i="6" s="1"/>
  <c r="P771" i="6"/>
  <c r="Q771" i="6" s="1"/>
  <c r="P770" i="6"/>
  <c r="Q770" i="6" s="1"/>
  <c r="T770" i="6" s="1"/>
  <c r="P769" i="6"/>
  <c r="Q769" i="6" s="1"/>
  <c r="P768" i="6"/>
  <c r="Q768" i="6" s="1"/>
  <c r="P767" i="6"/>
  <c r="Q767" i="6" s="1"/>
  <c r="R767" i="6" s="1"/>
  <c r="P766" i="6"/>
  <c r="Q766" i="6" s="1"/>
  <c r="P765" i="6"/>
  <c r="Q765" i="6" s="1"/>
  <c r="P764" i="6"/>
  <c r="Q764" i="6" s="1"/>
  <c r="R764" i="6" s="1"/>
  <c r="P763" i="6"/>
  <c r="Q763" i="6" s="1"/>
  <c r="P762" i="6"/>
  <c r="Q762" i="6" s="1"/>
  <c r="P761" i="6"/>
  <c r="Q761" i="6" s="1"/>
  <c r="S761" i="6" s="1"/>
  <c r="P760" i="6"/>
  <c r="Q760" i="6" s="1"/>
  <c r="P759" i="6"/>
  <c r="Q759" i="6" s="1"/>
  <c r="P758" i="6"/>
  <c r="Q758" i="6" s="1"/>
  <c r="P757" i="6"/>
  <c r="Q757" i="6" s="1"/>
  <c r="T757" i="6" s="1"/>
  <c r="P756" i="6"/>
  <c r="Q756" i="6" s="1"/>
  <c r="P755" i="6"/>
  <c r="Q755" i="6" s="1"/>
  <c r="P754" i="6"/>
  <c r="Q754" i="6" s="1"/>
  <c r="T754" i="6" s="1"/>
  <c r="P753" i="6"/>
  <c r="Q753" i="6" s="1"/>
  <c r="P752" i="6"/>
  <c r="Q752" i="6" s="1"/>
  <c r="R752" i="6" s="1"/>
  <c r="P751" i="6"/>
  <c r="Q751" i="6" s="1"/>
  <c r="P750" i="6"/>
  <c r="Q750" i="6" s="1"/>
  <c r="P749" i="6"/>
  <c r="Q749" i="6" s="1"/>
  <c r="P748" i="6"/>
  <c r="Q748" i="6" s="1"/>
  <c r="R748" i="6" s="1"/>
  <c r="P747" i="6"/>
  <c r="Q747" i="6" s="1"/>
  <c r="P746" i="6"/>
  <c r="Q746" i="6" s="1"/>
  <c r="P745" i="6"/>
  <c r="Q745" i="6" s="1"/>
  <c r="P744" i="6"/>
  <c r="Q744" i="6" s="1"/>
  <c r="R744" i="6" s="1"/>
  <c r="P743" i="6"/>
  <c r="Q743" i="6" s="1"/>
  <c r="P742" i="6"/>
  <c r="Q742" i="6" s="1"/>
  <c r="P741" i="6"/>
  <c r="Q741" i="6" s="1"/>
  <c r="P740" i="6"/>
  <c r="Q740" i="6" s="1"/>
  <c r="R740" i="6" s="1"/>
  <c r="P739" i="6"/>
  <c r="Q739" i="6" s="1"/>
  <c r="P738" i="6"/>
  <c r="Q738" i="6" s="1"/>
  <c r="P737" i="6"/>
  <c r="Q737" i="6" s="1"/>
  <c r="P736" i="6"/>
  <c r="Q736" i="6" s="1"/>
  <c r="R736" i="6" s="1"/>
  <c r="P735" i="6"/>
  <c r="Q735" i="6" s="1"/>
  <c r="P734" i="6"/>
  <c r="Q734" i="6" s="1"/>
  <c r="P733" i="6"/>
  <c r="Q733" i="6" s="1"/>
  <c r="P732" i="6"/>
  <c r="Q732" i="6" s="1"/>
  <c r="R732" i="6" s="1"/>
  <c r="P731" i="6"/>
  <c r="Q731" i="6" s="1"/>
  <c r="P730" i="6"/>
  <c r="Q730" i="6" s="1"/>
  <c r="P729" i="6"/>
  <c r="Q729" i="6" s="1"/>
  <c r="S729" i="6" s="1"/>
  <c r="P728" i="6"/>
  <c r="Q728" i="6" s="1"/>
  <c r="R728" i="6" s="1"/>
  <c r="P727" i="6"/>
  <c r="Q727" i="6" s="1"/>
  <c r="P726" i="6"/>
  <c r="Q726" i="6" s="1"/>
  <c r="P725" i="6"/>
  <c r="Q725" i="6" s="1"/>
  <c r="P724" i="6"/>
  <c r="Q724" i="6" s="1"/>
  <c r="R724" i="6" s="1"/>
  <c r="P723" i="6"/>
  <c r="Q723" i="6" s="1"/>
  <c r="P722" i="6"/>
  <c r="Q722" i="6" s="1"/>
  <c r="P721" i="6"/>
  <c r="Q721" i="6" s="1"/>
  <c r="S721" i="6" s="1"/>
  <c r="P720" i="6"/>
  <c r="Q720" i="6" s="1"/>
  <c r="R720" i="6" s="1"/>
  <c r="P719" i="6"/>
  <c r="Q719" i="6" s="1"/>
  <c r="P718" i="6"/>
  <c r="Q718" i="6" s="1"/>
  <c r="P717" i="6"/>
  <c r="Q717" i="6" s="1"/>
  <c r="P716" i="6"/>
  <c r="Q716" i="6" s="1"/>
  <c r="P715" i="6"/>
  <c r="Q715" i="6" s="1"/>
  <c r="R715" i="6" s="1"/>
  <c r="P714" i="6"/>
  <c r="Q714" i="6" s="1"/>
  <c r="P713" i="6"/>
  <c r="Q713" i="6" s="1"/>
  <c r="T713" i="6" s="1"/>
  <c r="P712" i="6"/>
  <c r="Q712" i="6" s="1"/>
  <c r="P711" i="6"/>
  <c r="Q711" i="6" s="1"/>
  <c r="P710" i="6"/>
  <c r="Q710" i="6" s="1"/>
  <c r="T710" i="6" s="1"/>
  <c r="P709" i="6"/>
  <c r="Q709" i="6" s="1"/>
  <c r="P708" i="6"/>
  <c r="Q708" i="6" s="1"/>
  <c r="P707" i="6"/>
  <c r="Q707" i="6" s="1"/>
  <c r="R707" i="6" s="1"/>
  <c r="P706" i="6"/>
  <c r="Q706" i="6" s="1"/>
  <c r="P705" i="6"/>
  <c r="Q705" i="6" s="1"/>
  <c r="P704" i="6"/>
  <c r="Q704" i="6" s="1"/>
  <c r="R704" i="6" s="1"/>
  <c r="P703" i="6"/>
  <c r="Q703" i="6" s="1"/>
  <c r="P702" i="6"/>
  <c r="Q702" i="6" s="1"/>
  <c r="P701" i="6"/>
  <c r="Q701" i="6" s="1"/>
  <c r="P700" i="6"/>
  <c r="Q700" i="6" s="1"/>
  <c r="P699" i="6"/>
  <c r="Q699" i="6" s="1"/>
  <c r="P698" i="6"/>
  <c r="Q698" i="6" s="1"/>
  <c r="P697" i="6"/>
  <c r="Q697" i="6" s="1"/>
  <c r="S697" i="6" s="1"/>
  <c r="P696" i="6"/>
  <c r="Q696" i="6" s="1"/>
  <c r="P695" i="6"/>
  <c r="Q695" i="6" s="1"/>
  <c r="P694" i="6"/>
  <c r="Q694" i="6" s="1"/>
  <c r="T694" i="6" s="1"/>
  <c r="P693" i="6"/>
  <c r="Q693" i="6" s="1"/>
  <c r="P692" i="6"/>
  <c r="Q692" i="6" s="1"/>
  <c r="P691" i="6"/>
  <c r="Q691" i="6" s="1"/>
  <c r="P690" i="6"/>
  <c r="Q690" i="6" s="1"/>
  <c r="T690" i="6" s="1"/>
  <c r="P689" i="6"/>
  <c r="Q689" i="6" s="1"/>
  <c r="S689" i="6" s="1"/>
  <c r="P688" i="6"/>
  <c r="Q688" i="6" s="1"/>
  <c r="P687" i="6"/>
  <c r="Q687" i="6" s="1"/>
  <c r="P686" i="6"/>
  <c r="Q686" i="6" s="1"/>
  <c r="T686" i="6" s="1"/>
  <c r="P685" i="6"/>
  <c r="Q685" i="6" s="1"/>
  <c r="P684" i="6"/>
  <c r="Q684" i="6" s="1"/>
  <c r="P683" i="6"/>
  <c r="Q683" i="6" s="1"/>
  <c r="P682" i="6"/>
  <c r="Q682" i="6" s="1"/>
  <c r="T682" i="6" s="1"/>
  <c r="P681" i="6"/>
  <c r="Q681" i="6" s="1"/>
  <c r="P680" i="6"/>
  <c r="Q680" i="6" s="1"/>
  <c r="P679" i="6"/>
  <c r="Q679" i="6" s="1"/>
  <c r="P678" i="6"/>
  <c r="Q678" i="6" s="1"/>
  <c r="P677" i="6"/>
  <c r="Q677" i="6" s="1"/>
  <c r="P676" i="6"/>
  <c r="Q676" i="6" s="1"/>
  <c r="R676" i="6" s="1"/>
  <c r="P675" i="6"/>
  <c r="Q675" i="6" s="1"/>
  <c r="R675" i="6" s="1"/>
  <c r="P674" i="6"/>
  <c r="Q674" i="6" s="1"/>
  <c r="P673" i="6"/>
  <c r="Q673" i="6" s="1"/>
  <c r="P672" i="6"/>
  <c r="Q672" i="6" s="1"/>
  <c r="R672" i="6" s="1"/>
  <c r="P671" i="6"/>
  <c r="Q671" i="6" s="1"/>
  <c r="P670" i="6"/>
  <c r="Q670" i="6" s="1"/>
  <c r="P669" i="6"/>
  <c r="Q669" i="6" s="1"/>
  <c r="T669" i="6" s="1"/>
  <c r="P668" i="6"/>
  <c r="Q668" i="6" s="1"/>
  <c r="R668" i="6" s="1"/>
  <c r="P667" i="6"/>
  <c r="Q667" i="6" s="1"/>
  <c r="P666" i="6"/>
  <c r="Q666" i="6" s="1"/>
  <c r="P665" i="6"/>
  <c r="Q665" i="6" s="1"/>
  <c r="T665" i="6" s="1"/>
  <c r="P664" i="6"/>
  <c r="Q664" i="6" s="1"/>
  <c r="R664" i="6" s="1"/>
  <c r="P663" i="6"/>
  <c r="Q663" i="6" s="1"/>
  <c r="P662" i="6"/>
  <c r="Q662" i="6" s="1"/>
  <c r="P661" i="6"/>
  <c r="Q661" i="6" s="1"/>
  <c r="T661" i="6" s="1"/>
  <c r="P660" i="6"/>
  <c r="Q660" i="6" s="1"/>
  <c r="P659" i="6"/>
  <c r="Q659" i="6" s="1"/>
  <c r="P658" i="6"/>
  <c r="Q658" i="6" s="1"/>
  <c r="P657" i="6"/>
  <c r="Q657" i="6" s="1"/>
  <c r="T657" i="6" s="1"/>
  <c r="P656" i="6"/>
  <c r="Q656" i="6" s="1"/>
  <c r="R656" i="6" s="1"/>
  <c r="P655" i="6"/>
  <c r="Q655" i="6" s="1"/>
  <c r="P654" i="6"/>
  <c r="Q654" i="6" s="1"/>
  <c r="P653" i="6"/>
  <c r="Q653" i="6" s="1"/>
  <c r="T653" i="6" s="1"/>
  <c r="P652" i="6"/>
  <c r="Q652" i="6" s="1"/>
  <c r="R652" i="6" s="1"/>
  <c r="P651" i="6"/>
  <c r="Q651" i="6" s="1"/>
  <c r="P650" i="6"/>
  <c r="Q650" i="6" s="1"/>
  <c r="P649" i="6"/>
  <c r="Q649" i="6" s="1"/>
  <c r="P648" i="6"/>
  <c r="Q648" i="6" s="1"/>
  <c r="P647" i="6"/>
  <c r="Q647" i="6" s="1"/>
  <c r="P646" i="6"/>
  <c r="Q646" i="6" s="1"/>
  <c r="T646" i="6" s="1"/>
  <c r="P645" i="6"/>
  <c r="Q645" i="6" s="1"/>
  <c r="P644" i="6"/>
  <c r="Q644" i="6" s="1"/>
  <c r="P643" i="6"/>
  <c r="Q643" i="6" s="1"/>
  <c r="R643" i="6" s="1"/>
  <c r="P642" i="6"/>
  <c r="Q642" i="6" s="1"/>
  <c r="P641" i="6"/>
  <c r="Q641" i="6" s="1"/>
  <c r="P640" i="6"/>
  <c r="Q640" i="6" s="1"/>
  <c r="R640" i="6" s="1"/>
  <c r="P639" i="6"/>
  <c r="Q639" i="6" s="1"/>
  <c r="P638" i="6"/>
  <c r="Q638" i="6" s="1"/>
  <c r="P637" i="6"/>
  <c r="Q637" i="6" s="1"/>
  <c r="P636" i="6"/>
  <c r="Q636" i="6" s="1"/>
  <c r="R636" i="6" s="1"/>
  <c r="P635" i="6"/>
  <c r="Q635" i="6" s="1"/>
  <c r="R635" i="6" s="1"/>
  <c r="P634" i="6"/>
  <c r="Q634" i="6" s="1"/>
  <c r="P633" i="6"/>
  <c r="Q633" i="6" s="1"/>
  <c r="P632" i="6"/>
  <c r="Q632" i="6" s="1"/>
  <c r="R632" i="6" s="1"/>
  <c r="P631" i="6"/>
  <c r="Q631" i="6" s="1"/>
  <c r="P630" i="6"/>
  <c r="Q630" i="6" s="1"/>
  <c r="P629" i="6"/>
  <c r="Q629" i="6" s="1"/>
  <c r="P628" i="6"/>
  <c r="Q628" i="6" s="1"/>
  <c r="R628" i="6" s="1"/>
  <c r="P627" i="6"/>
  <c r="Q627" i="6" s="1"/>
  <c r="R627" i="6" s="1"/>
  <c r="P626" i="6"/>
  <c r="Q626" i="6" s="1"/>
  <c r="P625" i="6"/>
  <c r="Q625" i="6" s="1"/>
  <c r="P624" i="6"/>
  <c r="Q624" i="6" s="1"/>
  <c r="P623" i="6"/>
  <c r="Q623" i="6" s="1"/>
  <c r="R623" i="6" s="1"/>
  <c r="P622" i="6"/>
  <c r="Q622" i="6" s="1"/>
  <c r="P621" i="6"/>
  <c r="Q621" i="6" s="1"/>
  <c r="T621" i="6" s="1"/>
  <c r="P620" i="6"/>
  <c r="Q620" i="6" s="1"/>
  <c r="R620" i="6" s="1"/>
  <c r="P619" i="6"/>
  <c r="Q619" i="6" s="1"/>
  <c r="P618" i="6"/>
  <c r="Q618" i="6" s="1"/>
  <c r="P617" i="6"/>
  <c r="Q617" i="6" s="1"/>
  <c r="T617" i="6" s="1"/>
  <c r="P616" i="6"/>
  <c r="Q616" i="6" s="1"/>
  <c r="R616" i="6" s="1"/>
  <c r="P615" i="6"/>
  <c r="Q615" i="6" s="1"/>
  <c r="R615" i="6" s="1"/>
  <c r="P614" i="6"/>
  <c r="Q614" i="6" s="1"/>
  <c r="P613" i="6"/>
  <c r="Q613" i="6" s="1"/>
  <c r="T613" i="6" s="1"/>
  <c r="P612" i="6"/>
  <c r="Q612" i="6" s="1"/>
  <c r="P611" i="6"/>
  <c r="Q611" i="6" s="1"/>
  <c r="R611" i="6" s="1"/>
  <c r="P610" i="6"/>
  <c r="Q610" i="6" s="1"/>
  <c r="P609" i="6"/>
  <c r="Q609" i="6" s="1"/>
  <c r="P608" i="6"/>
  <c r="Q608" i="6" s="1"/>
  <c r="R608" i="6" s="1"/>
  <c r="P607" i="6"/>
  <c r="Q607" i="6" s="1"/>
  <c r="P606" i="6"/>
  <c r="Q606" i="6" s="1"/>
  <c r="P605" i="6"/>
  <c r="Q605" i="6" s="1"/>
  <c r="P604" i="6"/>
  <c r="Q604" i="6" s="1"/>
  <c r="P603" i="6"/>
  <c r="Q603" i="6" s="1"/>
  <c r="P602" i="6"/>
  <c r="Q602" i="6" s="1"/>
  <c r="P601" i="6"/>
  <c r="Q601" i="6" s="1"/>
  <c r="S601" i="6" s="1"/>
  <c r="P600" i="6"/>
  <c r="Q600" i="6" s="1"/>
  <c r="R600" i="6" s="1"/>
  <c r="P599" i="6"/>
  <c r="Q599" i="6" s="1"/>
  <c r="P598" i="6"/>
  <c r="Q598" i="6" s="1"/>
  <c r="P597" i="6"/>
  <c r="Q597" i="6" s="1"/>
  <c r="T597" i="6" s="1"/>
  <c r="P596" i="6"/>
  <c r="Q596" i="6" s="1"/>
  <c r="P595" i="6"/>
  <c r="Q595" i="6" s="1"/>
  <c r="R595" i="6" s="1"/>
  <c r="P594" i="6"/>
  <c r="Q594" i="6" s="1"/>
  <c r="T594" i="6" s="1"/>
  <c r="P593" i="6"/>
  <c r="Q593" i="6" s="1"/>
  <c r="S593" i="6" s="1"/>
  <c r="P592" i="6"/>
  <c r="Q592" i="6" s="1"/>
  <c r="P591" i="6"/>
  <c r="Q591" i="6" s="1"/>
  <c r="R591" i="6" s="1"/>
  <c r="P590" i="6"/>
  <c r="Q590" i="6" s="1"/>
  <c r="P589" i="6"/>
  <c r="Q589" i="6" s="1"/>
  <c r="P588" i="6"/>
  <c r="Q588" i="6" s="1"/>
  <c r="R588" i="6" s="1"/>
  <c r="P587" i="6"/>
  <c r="Q587" i="6" s="1"/>
  <c r="P586" i="6"/>
  <c r="Q586" i="6" s="1"/>
  <c r="P585" i="6"/>
  <c r="Q585" i="6" s="1"/>
  <c r="P584" i="6"/>
  <c r="Q584" i="6" s="1"/>
  <c r="P583" i="6"/>
  <c r="Q583" i="6" s="1"/>
  <c r="P582" i="6"/>
  <c r="Q582" i="6" s="1"/>
  <c r="T582" i="6" s="1"/>
  <c r="P581" i="6"/>
  <c r="Q581" i="6" s="1"/>
  <c r="P580" i="6"/>
  <c r="Q580" i="6" s="1"/>
  <c r="P579" i="6"/>
  <c r="Q579" i="6" s="1"/>
  <c r="R579" i="6" s="1"/>
  <c r="P578" i="6"/>
  <c r="Q578" i="6" s="1"/>
  <c r="P577" i="6"/>
  <c r="Q577" i="6" s="1"/>
  <c r="P576" i="6"/>
  <c r="Q576" i="6" s="1"/>
  <c r="P575" i="6"/>
  <c r="Q575" i="6" s="1"/>
  <c r="P574" i="6"/>
  <c r="Q574" i="6" s="1"/>
  <c r="T574" i="6" s="1"/>
  <c r="P573" i="6"/>
  <c r="Q573" i="6" s="1"/>
  <c r="P572" i="6"/>
  <c r="Q572" i="6" s="1"/>
  <c r="R572" i="6" s="1"/>
  <c r="P571" i="6"/>
  <c r="Q571" i="6" s="1"/>
  <c r="P570" i="6"/>
  <c r="Q570" i="6" s="1"/>
  <c r="P569" i="6"/>
  <c r="Q569" i="6" s="1"/>
  <c r="S569" i="6" s="1"/>
  <c r="P568" i="6"/>
  <c r="Q568" i="6" s="1"/>
  <c r="P567" i="6"/>
  <c r="Q567" i="6" s="1"/>
  <c r="P566" i="6"/>
  <c r="Q566" i="6" s="1"/>
  <c r="T566" i="6" s="1"/>
  <c r="P565" i="6"/>
  <c r="Q565" i="6" s="1"/>
  <c r="P564" i="6"/>
  <c r="Q564" i="6" s="1"/>
  <c r="P563" i="6"/>
  <c r="Q563" i="6" s="1"/>
  <c r="R563" i="6" s="1"/>
  <c r="P562" i="6"/>
  <c r="Q562" i="6" s="1"/>
  <c r="P561" i="6"/>
  <c r="Q561" i="6" s="1"/>
  <c r="P560" i="6"/>
  <c r="Q560" i="6" s="1"/>
  <c r="R560" i="6" s="1"/>
  <c r="P559" i="6"/>
  <c r="Q559" i="6" s="1"/>
  <c r="P558" i="6"/>
  <c r="Q558" i="6" s="1"/>
  <c r="P557" i="6"/>
  <c r="Q557" i="6" s="1"/>
  <c r="T557" i="6" s="1"/>
  <c r="P556" i="6"/>
  <c r="Q556" i="6" s="1"/>
  <c r="R556" i="6" s="1"/>
  <c r="P555" i="6"/>
  <c r="Q555" i="6" s="1"/>
  <c r="P554" i="6"/>
  <c r="Q554" i="6" s="1"/>
  <c r="P553" i="6"/>
  <c r="Q553" i="6" s="1"/>
  <c r="P552" i="6"/>
  <c r="Q552" i="6" s="1"/>
  <c r="P551" i="6"/>
  <c r="Q551" i="6" s="1"/>
  <c r="R551" i="6" s="1"/>
  <c r="P550" i="6"/>
  <c r="Q550" i="6" s="1"/>
  <c r="P549" i="6"/>
  <c r="Q549" i="6" s="1"/>
  <c r="T549" i="6" s="1"/>
  <c r="P548" i="6"/>
  <c r="Q548" i="6" s="1"/>
  <c r="R548" i="6" s="1"/>
  <c r="P547" i="6"/>
  <c r="Q547" i="6" s="1"/>
  <c r="P546" i="6"/>
  <c r="Q546" i="6" s="1"/>
  <c r="T546" i="6" s="1"/>
  <c r="P545" i="6"/>
  <c r="Q545" i="6" s="1"/>
  <c r="P544" i="6"/>
  <c r="Q544" i="6" s="1"/>
  <c r="R544" i="6" s="1"/>
  <c r="P543" i="6"/>
  <c r="Q543" i="6" s="1"/>
  <c r="P542" i="6"/>
  <c r="Q542" i="6" s="1"/>
  <c r="P541" i="6"/>
  <c r="Q541" i="6" s="1"/>
  <c r="P540" i="6"/>
  <c r="Q540" i="6" s="1"/>
  <c r="P539" i="6"/>
  <c r="Q539" i="6" s="1"/>
  <c r="P538" i="6"/>
  <c r="Q538" i="6" s="1"/>
  <c r="P537" i="6"/>
  <c r="Q537" i="6" s="1"/>
  <c r="T537" i="6" s="1"/>
  <c r="P536" i="6"/>
  <c r="Q536" i="6" s="1"/>
  <c r="P535" i="6"/>
  <c r="Q535" i="6" s="1"/>
  <c r="P534" i="6"/>
  <c r="Q534" i="6" s="1"/>
  <c r="P533" i="6"/>
  <c r="Q533" i="6" s="1"/>
  <c r="P532" i="6"/>
  <c r="Q532" i="6" s="1"/>
  <c r="P531" i="6"/>
  <c r="Q531" i="6" s="1"/>
  <c r="P530" i="6"/>
  <c r="Q530" i="6" s="1"/>
  <c r="P529" i="6"/>
  <c r="Q529" i="6" s="1"/>
  <c r="T529" i="6" s="1"/>
  <c r="P528" i="6"/>
  <c r="Q528" i="6" s="1"/>
  <c r="P527" i="6"/>
  <c r="Q527" i="6" s="1"/>
  <c r="P526" i="6"/>
  <c r="Q526" i="6" s="1"/>
  <c r="T526" i="6" s="1"/>
  <c r="P525" i="6"/>
  <c r="Q525" i="6" s="1"/>
  <c r="P524" i="6"/>
  <c r="Q524" i="6" s="1"/>
  <c r="R524" i="6" s="1"/>
  <c r="P523" i="6"/>
  <c r="Q523" i="6" s="1"/>
  <c r="P522" i="6"/>
  <c r="Q522" i="6" s="1"/>
  <c r="P521" i="6"/>
  <c r="Q521" i="6" s="1"/>
  <c r="P520" i="6"/>
  <c r="Q520" i="6" s="1"/>
  <c r="P519" i="6"/>
  <c r="Q519" i="6" s="1"/>
  <c r="R519" i="6" s="1"/>
  <c r="P518" i="6"/>
  <c r="Q518" i="6" s="1"/>
  <c r="P517" i="6"/>
  <c r="Q517" i="6" s="1"/>
  <c r="T517" i="6" s="1"/>
  <c r="P516" i="6"/>
  <c r="Q516" i="6" s="1"/>
  <c r="R516" i="6" s="1"/>
  <c r="P515" i="6"/>
  <c r="Q515" i="6" s="1"/>
  <c r="P514" i="6"/>
  <c r="Q514" i="6" s="1"/>
  <c r="P513" i="6"/>
  <c r="Q513" i="6" s="1"/>
  <c r="S513" i="6" s="1"/>
  <c r="P512" i="6"/>
  <c r="Q512" i="6" s="1"/>
  <c r="P511" i="6"/>
  <c r="Q511" i="6" s="1"/>
  <c r="R511" i="6" s="1"/>
  <c r="P510" i="6"/>
  <c r="Q510" i="6" s="1"/>
  <c r="P509" i="6"/>
  <c r="Q509" i="6" s="1"/>
  <c r="T509" i="6" s="1"/>
  <c r="P508" i="6"/>
  <c r="Q508" i="6" s="1"/>
  <c r="R508" i="6" s="1"/>
  <c r="P507" i="6"/>
  <c r="Q507" i="6" s="1"/>
  <c r="P506" i="6"/>
  <c r="Q506" i="6" s="1"/>
  <c r="P505" i="6"/>
  <c r="Q505" i="6" s="1"/>
  <c r="S505" i="6" s="1"/>
  <c r="P504" i="6"/>
  <c r="Q504" i="6" s="1"/>
  <c r="P503" i="6"/>
  <c r="Q503" i="6" s="1"/>
  <c r="R503" i="6" s="1"/>
  <c r="P502" i="6"/>
  <c r="Q502" i="6" s="1"/>
  <c r="P501" i="6"/>
  <c r="Q501" i="6" s="1"/>
  <c r="T501" i="6" s="1"/>
  <c r="P500" i="6"/>
  <c r="Q500" i="6" s="1"/>
  <c r="R500" i="6" s="1"/>
  <c r="P499" i="6"/>
  <c r="Q499" i="6" s="1"/>
  <c r="P498" i="6"/>
  <c r="Q498" i="6" s="1"/>
  <c r="P497" i="6"/>
  <c r="Q497" i="6" s="1"/>
  <c r="S497" i="6" s="1"/>
  <c r="P496" i="6"/>
  <c r="Q496" i="6" s="1"/>
  <c r="P495" i="6"/>
  <c r="Q495" i="6" s="1"/>
  <c r="P494" i="6"/>
  <c r="Q494" i="6" s="1"/>
  <c r="P493" i="6"/>
  <c r="Q493" i="6" s="1"/>
  <c r="P492" i="6"/>
  <c r="Q492" i="6" s="1"/>
  <c r="R492" i="6" s="1"/>
  <c r="P491" i="6"/>
  <c r="Q491" i="6" s="1"/>
  <c r="P490" i="6"/>
  <c r="Q490" i="6" s="1"/>
  <c r="P489" i="6"/>
  <c r="Q489" i="6" s="1"/>
  <c r="T489" i="6" s="1"/>
  <c r="P488" i="6"/>
  <c r="Q488" i="6" s="1"/>
  <c r="R488" i="6" s="1"/>
  <c r="P487" i="6"/>
  <c r="Q487" i="6" s="1"/>
  <c r="R487" i="6" s="1"/>
  <c r="P486" i="6"/>
  <c r="Q486" i="6" s="1"/>
  <c r="T486" i="6" s="1"/>
  <c r="P485" i="6"/>
  <c r="Q485" i="6" s="1"/>
  <c r="P484" i="6"/>
  <c r="Q484" i="6" s="1"/>
  <c r="R484" i="6" s="1"/>
  <c r="P483" i="6"/>
  <c r="Q483" i="6" s="1"/>
  <c r="P482" i="6"/>
  <c r="Q482" i="6" s="1"/>
  <c r="P481" i="6"/>
  <c r="Q481" i="6" s="1"/>
  <c r="P480" i="6"/>
  <c r="Q480" i="6" s="1"/>
  <c r="R480" i="6" s="1"/>
  <c r="P479" i="6"/>
  <c r="Q479" i="6" s="1"/>
  <c r="P478" i="6"/>
  <c r="Q478" i="6" s="1"/>
  <c r="P477" i="6"/>
  <c r="Q477" i="6" s="1"/>
  <c r="P476" i="6"/>
  <c r="Q476" i="6" s="1"/>
  <c r="R476" i="6" s="1"/>
  <c r="P475" i="6"/>
  <c r="Q475" i="6" s="1"/>
  <c r="P474" i="6"/>
  <c r="Q474" i="6" s="1"/>
  <c r="T474" i="6" s="1"/>
  <c r="P473" i="6"/>
  <c r="Q473" i="6" s="1"/>
  <c r="S473" i="6" s="1"/>
  <c r="P472" i="6"/>
  <c r="Q472" i="6" s="1"/>
  <c r="P471" i="6"/>
  <c r="Q471" i="6" s="1"/>
  <c r="R471" i="6" s="1"/>
  <c r="P470" i="6"/>
  <c r="Q470" i="6" s="1"/>
  <c r="P469" i="6"/>
  <c r="Q469" i="6" s="1"/>
  <c r="P468" i="6"/>
  <c r="Q468" i="6" s="1"/>
  <c r="R468" i="6" s="1"/>
  <c r="P467" i="6"/>
  <c r="Q467" i="6" s="1"/>
  <c r="P466" i="6"/>
  <c r="Q466" i="6" s="1"/>
  <c r="T466" i="6" s="1"/>
  <c r="P465" i="6"/>
  <c r="Q465" i="6" s="1"/>
  <c r="S465" i="6" s="1"/>
  <c r="P464" i="6"/>
  <c r="Q464" i="6" s="1"/>
  <c r="P463" i="6"/>
  <c r="Q463" i="6" s="1"/>
  <c r="R463" i="6" s="1"/>
  <c r="P462" i="6"/>
  <c r="Q462" i="6" s="1"/>
  <c r="P461" i="6"/>
  <c r="Q461" i="6" s="1"/>
  <c r="P460" i="6"/>
  <c r="Q460" i="6" s="1"/>
  <c r="R460" i="6" s="1"/>
  <c r="P459" i="6"/>
  <c r="Q459" i="6" s="1"/>
  <c r="P458" i="6"/>
  <c r="Q458" i="6" s="1"/>
  <c r="P457" i="6"/>
  <c r="Q457" i="6" s="1"/>
  <c r="P456" i="6"/>
  <c r="Q456" i="6" s="1"/>
  <c r="R456" i="6" s="1"/>
  <c r="P455" i="6"/>
  <c r="Q455" i="6" s="1"/>
  <c r="P454" i="6"/>
  <c r="Q454" i="6" s="1"/>
  <c r="P453" i="6"/>
  <c r="Q453" i="6" s="1"/>
  <c r="T453" i="6" s="1"/>
  <c r="P452" i="6"/>
  <c r="Q452" i="6" s="1"/>
  <c r="P451" i="6"/>
  <c r="Q451" i="6" s="1"/>
  <c r="P450" i="6"/>
  <c r="Q450" i="6" s="1"/>
  <c r="T450" i="6" s="1"/>
  <c r="P449" i="6"/>
  <c r="Q449" i="6" s="1"/>
  <c r="P448" i="6"/>
  <c r="Q448" i="6" s="1"/>
  <c r="R448" i="6" s="1"/>
  <c r="P447" i="6"/>
  <c r="Q447" i="6" s="1"/>
  <c r="R447" i="6" s="1"/>
  <c r="P446" i="6"/>
  <c r="Q446" i="6" s="1"/>
  <c r="P445" i="6"/>
  <c r="Q445" i="6" s="1"/>
  <c r="P444" i="6"/>
  <c r="Q444" i="6" s="1"/>
  <c r="R444" i="6" s="1"/>
  <c r="P443" i="6"/>
  <c r="Q443" i="6" s="1"/>
  <c r="P442" i="6"/>
  <c r="Q442" i="6" s="1"/>
  <c r="P441" i="6"/>
  <c r="Q441" i="6" s="1"/>
  <c r="T441" i="6" s="1"/>
  <c r="P440" i="6"/>
  <c r="Q440" i="6" s="1"/>
  <c r="P439" i="6"/>
  <c r="Q439" i="6" s="1"/>
  <c r="R439" i="6" s="1"/>
  <c r="P438" i="6"/>
  <c r="Q438" i="6" s="1"/>
  <c r="P437" i="6"/>
  <c r="Q437" i="6" s="1"/>
  <c r="P436" i="6"/>
  <c r="Q436" i="6" s="1"/>
  <c r="R436" i="6" s="1"/>
  <c r="P435" i="6"/>
  <c r="Q435" i="6" s="1"/>
  <c r="P434" i="6"/>
  <c r="Q434" i="6" s="1"/>
  <c r="P433" i="6"/>
  <c r="Q433" i="6" s="1"/>
  <c r="S433" i="6" s="1"/>
  <c r="P432" i="6"/>
  <c r="Q432" i="6" s="1"/>
  <c r="R432" i="6" s="1"/>
  <c r="P431" i="6"/>
  <c r="Q431" i="6" s="1"/>
  <c r="P430" i="6"/>
  <c r="Q430" i="6" s="1"/>
  <c r="P429" i="6"/>
  <c r="Q429" i="6" s="1"/>
  <c r="T429" i="6" s="1"/>
  <c r="P428" i="6"/>
  <c r="Q428" i="6" s="1"/>
  <c r="P427" i="6"/>
  <c r="Q427" i="6" s="1"/>
  <c r="P426" i="6"/>
  <c r="Q426" i="6" s="1"/>
  <c r="P425" i="6"/>
  <c r="Q425" i="6" s="1"/>
  <c r="P424" i="6"/>
  <c r="Q424" i="6" s="1"/>
  <c r="R424" i="6" s="1"/>
  <c r="P423" i="6"/>
  <c r="Q423" i="6" s="1"/>
  <c r="R423" i="6" s="1"/>
  <c r="P422" i="6"/>
  <c r="Q422" i="6" s="1"/>
  <c r="P421" i="6"/>
  <c r="Q421" i="6" s="1"/>
  <c r="P420" i="6"/>
  <c r="Q420" i="6" s="1"/>
  <c r="R420" i="6" s="1"/>
  <c r="P419" i="6"/>
  <c r="Q419" i="6" s="1"/>
  <c r="P418" i="6"/>
  <c r="Q418" i="6" s="1"/>
  <c r="T418" i="6" s="1"/>
  <c r="P417" i="6"/>
  <c r="Q417" i="6" s="1"/>
  <c r="P416" i="6"/>
  <c r="Q416" i="6" s="1"/>
  <c r="P415" i="6"/>
  <c r="Q415" i="6" s="1"/>
  <c r="R415" i="6" s="1"/>
  <c r="P414" i="6"/>
  <c r="Q414" i="6" s="1"/>
  <c r="P413" i="6"/>
  <c r="Q413" i="6" s="1"/>
  <c r="P412" i="6"/>
  <c r="Q412" i="6" s="1"/>
  <c r="R412" i="6" s="1"/>
  <c r="P411" i="6"/>
  <c r="Q411" i="6" s="1"/>
  <c r="P410" i="6"/>
  <c r="Q410" i="6" s="1"/>
  <c r="P409" i="6"/>
  <c r="Q409" i="6" s="1"/>
  <c r="P408" i="6"/>
  <c r="Q408" i="6" s="1"/>
  <c r="P407" i="6"/>
  <c r="Q407" i="6" s="1"/>
  <c r="P406" i="6"/>
  <c r="Q406" i="6" s="1"/>
  <c r="P405" i="6"/>
  <c r="Q405" i="6" s="1"/>
  <c r="P404" i="6"/>
  <c r="Q404" i="6" s="1"/>
  <c r="R404" i="6" s="1"/>
  <c r="P403" i="6"/>
  <c r="Q403" i="6" s="1"/>
  <c r="P402" i="6"/>
  <c r="Q402" i="6" s="1"/>
  <c r="T402" i="6" s="1"/>
  <c r="P401" i="6"/>
  <c r="Q401" i="6" s="1"/>
  <c r="S401" i="6" s="1"/>
  <c r="P400" i="6"/>
  <c r="Q400" i="6" s="1"/>
  <c r="P399" i="6"/>
  <c r="Q399" i="6" s="1"/>
  <c r="R399" i="6" s="1"/>
  <c r="P398" i="6"/>
  <c r="Q398" i="6" s="1"/>
  <c r="P397" i="6"/>
  <c r="Q397" i="6" s="1"/>
  <c r="P396" i="6"/>
  <c r="Q396" i="6" s="1"/>
  <c r="R396" i="6" s="1"/>
  <c r="P395" i="6"/>
  <c r="Q395" i="6" s="1"/>
  <c r="P394" i="6"/>
  <c r="Q394" i="6" s="1"/>
  <c r="T394" i="6" s="1"/>
  <c r="P393" i="6"/>
  <c r="Q393" i="6" s="1"/>
  <c r="P392" i="6"/>
  <c r="Q392" i="6" s="1"/>
  <c r="P391" i="6"/>
  <c r="Q391" i="6" s="1"/>
  <c r="R391" i="6" s="1"/>
  <c r="P390" i="6"/>
  <c r="Q390" i="6" s="1"/>
  <c r="P389" i="6"/>
  <c r="Q389" i="6" s="1"/>
  <c r="P388" i="6"/>
  <c r="Q388" i="6" s="1"/>
  <c r="R388" i="6" s="1"/>
  <c r="P387" i="6"/>
  <c r="Q387" i="6" s="1"/>
  <c r="P386" i="6"/>
  <c r="Q386" i="6" s="1"/>
  <c r="P385" i="6"/>
  <c r="Q385" i="6" s="1"/>
  <c r="T385" i="6" s="1"/>
  <c r="P384" i="6"/>
  <c r="Q384" i="6" s="1"/>
  <c r="R384" i="6" s="1"/>
  <c r="P383" i="6"/>
  <c r="Q383" i="6" s="1"/>
  <c r="R383" i="6" s="1"/>
  <c r="P382" i="6"/>
  <c r="Q382" i="6" s="1"/>
  <c r="T382" i="6" s="1"/>
  <c r="P381" i="6"/>
  <c r="Q381" i="6" s="1"/>
  <c r="P380" i="6"/>
  <c r="Q380" i="6" s="1"/>
  <c r="R380" i="6" s="1"/>
  <c r="P379" i="6"/>
  <c r="Q379" i="6" s="1"/>
  <c r="P378" i="6"/>
  <c r="Q378" i="6" s="1"/>
  <c r="P377" i="6"/>
  <c r="Q377" i="6" s="1"/>
  <c r="S377" i="6" s="1"/>
  <c r="P376" i="6"/>
  <c r="Q376" i="6" s="1"/>
  <c r="R376" i="6" s="1"/>
  <c r="P375" i="6"/>
  <c r="Q375" i="6" s="1"/>
  <c r="P374" i="6"/>
  <c r="Q374" i="6" s="1"/>
  <c r="T374" i="6" s="1"/>
  <c r="P373" i="6"/>
  <c r="Q373" i="6" s="1"/>
  <c r="P372" i="6"/>
  <c r="Q372" i="6" s="1"/>
  <c r="P371" i="6"/>
  <c r="Q371" i="6" s="1"/>
  <c r="P370" i="6"/>
  <c r="Q370" i="6" s="1"/>
  <c r="P369" i="6"/>
  <c r="Q369" i="6" s="1"/>
  <c r="P368" i="6"/>
  <c r="Q368" i="6" s="1"/>
  <c r="R368" i="6" s="1"/>
  <c r="P367" i="6"/>
  <c r="Q367" i="6" s="1"/>
  <c r="R367" i="6" s="1"/>
  <c r="P366" i="6"/>
  <c r="Q366" i="6" s="1"/>
  <c r="P365" i="6"/>
  <c r="Q365" i="6" s="1"/>
  <c r="T365" i="6" s="1"/>
  <c r="P364" i="6"/>
  <c r="Q364" i="6" s="1"/>
  <c r="R364" i="6" s="1"/>
  <c r="P363" i="6"/>
  <c r="Q363" i="6" s="1"/>
  <c r="P362" i="6"/>
  <c r="Q362" i="6" s="1"/>
  <c r="T362" i="6" s="1"/>
  <c r="P361" i="6"/>
  <c r="Q361" i="6" s="1"/>
  <c r="P360" i="6"/>
  <c r="Q360" i="6" s="1"/>
  <c r="P359" i="6"/>
  <c r="Q359" i="6" s="1"/>
  <c r="P358" i="6"/>
  <c r="Q358" i="6" s="1"/>
  <c r="P357" i="6"/>
  <c r="Q357" i="6" s="1"/>
  <c r="P356" i="6"/>
  <c r="Q356" i="6" s="1"/>
  <c r="R356" i="6" s="1"/>
  <c r="P355" i="6"/>
  <c r="Q355" i="6" s="1"/>
  <c r="P354" i="6"/>
  <c r="Q354" i="6" s="1"/>
  <c r="P353" i="6"/>
  <c r="Q353" i="6" s="1"/>
  <c r="T353" i="6" s="1"/>
  <c r="P352" i="6"/>
  <c r="Q352" i="6" s="1"/>
  <c r="P351" i="6"/>
  <c r="Q351" i="6" s="1"/>
  <c r="R351" i="6" s="1"/>
  <c r="P350" i="6"/>
  <c r="Q350" i="6" s="1"/>
  <c r="P349" i="6"/>
  <c r="Q349" i="6" s="1"/>
  <c r="P348" i="6"/>
  <c r="Q348" i="6" s="1"/>
  <c r="R348" i="6" s="1"/>
  <c r="P347" i="6"/>
  <c r="Q347" i="6" s="1"/>
  <c r="P346" i="6"/>
  <c r="Q346" i="6" s="1"/>
  <c r="P345" i="6"/>
  <c r="Q345" i="6" s="1"/>
  <c r="S345" i="6" s="1"/>
  <c r="P344" i="6"/>
  <c r="Q344" i="6" s="1"/>
  <c r="R344" i="6" s="1"/>
  <c r="P343" i="6"/>
  <c r="Q343" i="6" s="1"/>
  <c r="P342" i="6"/>
  <c r="Q342" i="6" s="1"/>
  <c r="T342" i="6" s="1"/>
  <c r="P341" i="6"/>
  <c r="Q341" i="6" s="1"/>
  <c r="P340" i="6"/>
  <c r="Q340" i="6" s="1"/>
  <c r="P339" i="6"/>
  <c r="Q339" i="6" s="1"/>
  <c r="P338" i="6"/>
  <c r="Q338" i="6" s="1"/>
  <c r="P337" i="6"/>
  <c r="Q337" i="6" s="1"/>
  <c r="P336" i="6"/>
  <c r="Q336" i="6" s="1"/>
  <c r="R336" i="6" s="1"/>
  <c r="P335" i="6"/>
  <c r="Q335" i="6" s="1"/>
  <c r="R335" i="6" s="1"/>
  <c r="P334" i="6"/>
  <c r="Q334" i="6" s="1"/>
  <c r="T334" i="6" s="1"/>
  <c r="P333" i="6"/>
  <c r="Q333" i="6" s="1"/>
  <c r="P332" i="6"/>
  <c r="Q332" i="6" s="1"/>
  <c r="R332" i="6" s="1"/>
  <c r="P331" i="6"/>
  <c r="Q331" i="6" s="1"/>
  <c r="P330" i="6"/>
  <c r="Q330" i="6" s="1"/>
  <c r="P329" i="6"/>
  <c r="Q329" i="6" s="1"/>
  <c r="P328" i="6"/>
  <c r="Q328" i="6" s="1"/>
  <c r="R328" i="6" s="1"/>
  <c r="P327" i="6"/>
  <c r="Q327" i="6" s="1"/>
  <c r="P326" i="6"/>
  <c r="Q326" i="6" s="1"/>
  <c r="P325" i="6"/>
  <c r="Q325" i="6" s="1"/>
  <c r="T325" i="6" s="1"/>
  <c r="P324" i="6"/>
  <c r="Q324" i="6" s="1"/>
  <c r="P323" i="6"/>
  <c r="Q323" i="6" s="1"/>
  <c r="P322" i="6"/>
  <c r="Q322" i="6" s="1"/>
  <c r="T322" i="6" s="1"/>
  <c r="P321" i="6"/>
  <c r="Q321" i="6" s="1"/>
  <c r="P320" i="6"/>
  <c r="Q320" i="6" s="1"/>
  <c r="P319" i="6"/>
  <c r="Q319" i="6" s="1"/>
  <c r="R319" i="6" s="1"/>
  <c r="P318" i="6"/>
  <c r="Q318" i="6" s="1"/>
  <c r="P317" i="6"/>
  <c r="Q317" i="6" s="1"/>
  <c r="P316" i="6"/>
  <c r="Q316" i="6" s="1"/>
  <c r="R316" i="6" s="1"/>
  <c r="P315" i="6"/>
  <c r="Q315" i="6" s="1"/>
  <c r="P314" i="6"/>
  <c r="Q314" i="6" s="1"/>
  <c r="P313" i="6"/>
  <c r="Q313" i="6" s="1"/>
  <c r="T313" i="6" s="1"/>
  <c r="P312" i="6"/>
  <c r="Q312" i="6" s="1"/>
  <c r="P311" i="6"/>
  <c r="Q311" i="6" s="1"/>
  <c r="P310" i="6"/>
  <c r="Q310" i="6" s="1"/>
  <c r="P309" i="6"/>
  <c r="Q309" i="6" s="1"/>
  <c r="P308" i="6"/>
  <c r="Q308" i="6" s="1"/>
  <c r="R308" i="6" s="1"/>
  <c r="P307" i="6"/>
  <c r="Q307" i="6" s="1"/>
  <c r="P306" i="6"/>
  <c r="Q306" i="6" s="1"/>
  <c r="P305" i="6"/>
  <c r="Q305" i="6" s="1"/>
  <c r="P304" i="6"/>
  <c r="Q304" i="6" s="1"/>
  <c r="R304" i="6" s="1"/>
  <c r="P303" i="6"/>
  <c r="Q303" i="6" s="1"/>
  <c r="R303" i="6" s="1"/>
  <c r="P302" i="6"/>
  <c r="Q302" i="6" s="1"/>
  <c r="P301" i="6"/>
  <c r="Q301" i="6" s="1"/>
  <c r="P300" i="6"/>
  <c r="Q300" i="6" s="1"/>
  <c r="R300" i="6" s="1"/>
  <c r="P299" i="6"/>
  <c r="Q299" i="6" s="1"/>
  <c r="P298" i="6"/>
  <c r="Q298" i="6" s="1"/>
  <c r="P297" i="6"/>
  <c r="Q297" i="6" s="1"/>
  <c r="P296" i="6"/>
  <c r="Q296" i="6" s="1"/>
  <c r="P295" i="6"/>
  <c r="Q295" i="6" s="1"/>
  <c r="R295" i="6" s="1"/>
  <c r="P294" i="6"/>
  <c r="Q294" i="6" s="1"/>
  <c r="P293" i="6"/>
  <c r="Q293" i="6" s="1"/>
  <c r="P292" i="6"/>
  <c r="Q292" i="6" s="1"/>
  <c r="R292" i="6" s="1"/>
  <c r="P291" i="6"/>
  <c r="Q291" i="6" s="1"/>
  <c r="P290" i="6"/>
  <c r="Q290" i="6" s="1"/>
  <c r="P289" i="6"/>
  <c r="Q289" i="6" s="1"/>
  <c r="S289" i="6" s="1"/>
  <c r="P288" i="6"/>
  <c r="Q288" i="6" s="1"/>
  <c r="P287" i="6"/>
  <c r="Q287" i="6" s="1"/>
  <c r="R287" i="6" s="1"/>
  <c r="P286" i="6"/>
  <c r="Q286" i="6" s="1"/>
  <c r="P285" i="6"/>
  <c r="Q285" i="6" s="1"/>
  <c r="P284" i="6"/>
  <c r="Q284" i="6" s="1"/>
  <c r="R284" i="6" s="1"/>
  <c r="P283" i="6"/>
  <c r="Q283" i="6" s="1"/>
  <c r="P282" i="6"/>
  <c r="Q282" i="6" s="1"/>
  <c r="P281" i="6"/>
  <c r="Q281" i="6" s="1"/>
  <c r="S281" i="6" s="1"/>
  <c r="P280" i="6"/>
  <c r="Q280" i="6" s="1"/>
  <c r="P279" i="6"/>
  <c r="Q279" i="6" s="1"/>
  <c r="P278" i="6"/>
  <c r="Q278" i="6" s="1"/>
  <c r="P277" i="6"/>
  <c r="Q277" i="6" s="1"/>
  <c r="P276" i="6"/>
  <c r="Q276" i="6" s="1"/>
  <c r="P275" i="6"/>
  <c r="Q275" i="6" s="1"/>
  <c r="P274" i="6"/>
  <c r="Q274" i="6" s="1"/>
  <c r="P273" i="6"/>
  <c r="Q273" i="6" s="1"/>
  <c r="S273" i="6" s="1"/>
  <c r="P272" i="6"/>
  <c r="Q272" i="6" s="1"/>
  <c r="P271" i="6"/>
  <c r="Q271" i="6" s="1"/>
  <c r="P270" i="6"/>
  <c r="Q270" i="6" s="1"/>
  <c r="P269" i="6"/>
  <c r="Q269" i="6" s="1"/>
  <c r="P268" i="6"/>
  <c r="Q268" i="6" s="1"/>
  <c r="R268" i="6" s="1"/>
  <c r="P267" i="6"/>
  <c r="Q267" i="6" s="1"/>
  <c r="P266" i="6"/>
  <c r="Q266" i="6" s="1"/>
  <c r="P265" i="6"/>
  <c r="Q265" i="6" s="1"/>
  <c r="P264" i="6"/>
  <c r="Q264" i="6" s="1"/>
  <c r="P263" i="6"/>
  <c r="Q263" i="6" s="1"/>
  <c r="P262" i="6"/>
  <c r="Q262" i="6" s="1"/>
  <c r="P261" i="6"/>
  <c r="Q261" i="6" s="1"/>
  <c r="P260" i="6"/>
  <c r="Q260" i="6" s="1"/>
  <c r="R260" i="6" s="1"/>
  <c r="P259" i="6"/>
  <c r="Q259" i="6" s="1"/>
  <c r="P258" i="6"/>
  <c r="Q258" i="6" s="1"/>
  <c r="P257" i="6"/>
  <c r="Q257" i="6" s="1"/>
  <c r="S257" i="6" s="1"/>
  <c r="P256" i="6"/>
  <c r="Q256" i="6" s="1"/>
  <c r="P255" i="6"/>
  <c r="Q255" i="6" s="1"/>
  <c r="P254" i="6"/>
  <c r="Q254" i="6" s="1"/>
  <c r="P253" i="6"/>
  <c r="Q253" i="6" s="1"/>
  <c r="P252" i="6"/>
  <c r="Q252" i="6" s="1"/>
  <c r="R252" i="6" s="1"/>
  <c r="P251" i="6"/>
  <c r="Q251" i="6" s="1"/>
  <c r="P250" i="6"/>
  <c r="Q250" i="6" s="1"/>
  <c r="P249" i="6"/>
  <c r="Q249" i="6" s="1"/>
  <c r="P248" i="6"/>
  <c r="Q248" i="6" s="1"/>
  <c r="P247" i="6"/>
  <c r="Q247" i="6" s="1"/>
  <c r="P246" i="6"/>
  <c r="Q246" i="6" s="1"/>
  <c r="P245" i="6"/>
  <c r="Q245" i="6" s="1"/>
  <c r="P244" i="6"/>
  <c r="Q244" i="6" s="1"/>
  <c r="R244" i="6" s="1"/>
  <c r="P243" i="6"/>
  <c r="Q243" i="6" s="1"/>
  <c r="P242" i="6"/>
  <c r="Q242" i="6" s="1"/>
  <c r="P241" i="6"/>
  <c r="Q241" i="6" s="1"/>
  <c r="S241" i="6" s="1"/>
  <c r="P240" i="6"/>
  <c r="Q240" i="6" s="1"/>
  <c r="P239" i="6"/>
  <c r="Q239" i="6" s="1"/>
  <c r="P238" i="6"/>
  <c r="Q238" i="6" s="1"/>
  <c r="P237" i="6"/>
  <c r="Q237" i="6" s="1"/>
  <c r="P236" i="6"/>
  <c r="Q236" i="6" s="1"/>
  <c r="R236" i="6" s="1"/>
  <c r="P235" i="6"/>
  <c r="Q235" i="6" s="1"/>
  <c r="P234" i="6"/>
  <c r="Q234" i="6" s="1"/>
  <c r="P233" i="6"/>
  <c r="Q233" i="6" s="1"/>
  <c r="P232" i="6"/>
  <c r="Q232" i="6" s="1"/>
  <c r="P231" i="6"/>
  <c r="Q231" i="6" s="1"/>
  <c r="P230" i="6"/>
  <c r="Q230" i="6" s="1"/>
  <c r="P229" i="6"/>
  <c r="Q229" i="6" s="1"/>
  <c r="P228" i="6"/>
  <c r="Q228" i="6" s="1"/>
  <c r="R228" i="6" s="1"/>
  <c r="P227" i="6"/>
  <c r="Q227" i="6" s="1"/>
  <c r="P226" i="6"/>
  <c r="Q226" i="6" s="1"/>
  <c r="P225" i="6"/>
  <c r="Q225" i="6" s="1"/>
  <c r="S225" i="6" s="1"/>
  <c r="P224" i="6"/>
  <c r="Q224" i="6" s="1"/>
  <c r="P223" i="6"/>
  <c r="Q223" i="6" s="1"/>
  <c r="P222" i="6"/>
  <c r="Q222" i="6" s="1"/>
  <c r="P221" i="6"/>
  <c r="Q221" i="6" s="1"/>
  <c r="P220" i="6"/>
  <c r="Q220" i="6" s="1"/>
  <c r="R220" i="6" s="1"/>
  <c r="P219" i="6"/>
  <c r="Q219" i="6" s="1"/>
  <c r="P218" i="6"/>
  <c r="Q218" i="6" s="1"/>
  <c r="P217" i="6"/>
  <c r="Q217" i="6" s="1"/>
  <c r="P216" i="6"/>
  <c r="Q216" i="6" s="1"/>
  <c r="P215" i="6"/>
  <c r="Q215" i="6" s="1"/>
  <c r="P214" i="6"/>
  <c r="Q214" i="6" s="1"/>
  <c r="P213" i="6"/>
  <c r="Q213" i="6" s="1"/>
  <c r="P212" i="6"/>
  <c r="Q212" i="6" s="1"/>
  <c r="R212" i="6" s="1"/>
  <c r="P211" i="6"/>
  <c r="Q211" i="6" s="1"/>
  <c r="P210" i="6"/>
  <c r="Q210" i="6" s="1"/>
  <c r="P209" i="6"/>
  <c r="Q209" i="6" s="1"/>
  <c r="S209" i="6" s="1"/>
  <c r="P208" i="6"/>
  <c r="Q208" i="6" s="1"/>
  <c r="P207" i="6"/>
  <c r="Q207" i="6" s="1"/>
  <c r="P206" i="6"/>
  <c r="Q206" i="6" s="1"/>
  <c r="P205" i="6"/>
  <c r="Q205" i="6" s="1"/>
  <c r="P204" i="6"/>
  <c r="Q204" i="6" s="1"/>
  <c r="R204" i="6" s="1"/>
  <c r="P203" i="6"/>
  <c r="Q203" i="6" s="1"/>
  <c r="P202" i="6"/>
  <c r="Q202" i="6" s="1"/>
  <c r="P201" i="6"/>
  <c r="Q201" i="6" s="1"/>
  <c r="P200" i="6"/>
  <c r="Q200" i="6" s="1"/>
  <c r="P199" i="6"/>
  <c r="Q199" i="6" s="1"/>
  <c r="P198" i="6"/>
  <c r="Q198" i="6" s="1"/>
  <c r="P197" i="6"/>
  <c r="Q197" i="6" s="1"/>
  <c r="P196" i="6"/>
  <c r="Q196" i="6" s="1"/>
  <c r="R196" i="6" s="1"/>
  <c r="P195" i="6"/>
  <c r="Q195" i="6" s="1"/>
  <c r="P194" i="6"/>
  <c r="Q194" i="6" s="1"/>
  <c r="P193" i="6"/>
  <c r="Q193" i="6" s="1"/>
  <c r="S193" i="6" s="1"/>
  <c r="P192" i="6"/>
  <c r="Q192" i="6" s="1"/>
  <c r="P191" i="6"/>
  <c r="Q191" i="6" s="1"/>
  <c r="P190" i="6"/>
  <c r="Q190" i="6" s="1"/>
  <c r="P189" i="6"/>
  <c r="Q189" i="6" s="1"/>
  <c r="P188" i="6"/>
  <c r="Q188" i="6" s="1"/>
  <c r="R188" i="6" s="1"/>
  <c r="P187" i="6"/>
  <c r="Q187" i="6" s="1"/>
  <c r="P186" i="6"/>
  <c r="Q186" i="6" s="1"/>
  <c r="P185" i="6"/>
  <c r="Q185" i="6" s="1"/>
  <c r="P184" i="6"/>
  <c r="Q184" i="6" s="1"/>
  <c r="P183" i="6"/>
  <c r="Q183" i="6" s="1"/>
  <c r="P182" i="6"/>
  <c r="Q182" i="6" s="1"/>
  <c r="P181" i="6"/>
  <c r="Q181" i="6" s="1"/>
  <c r="P180" i="6"/>
  <c r="Q180" i="6" s="1"/>
  <c r="P179" i="6"/>
  <c r="Q179" i="6" s="1"/>
  <c r="P178" i="6"/>
  <c r="Q178" i="6" s="1"/>
  <c r="P177" i="6"/>
  <c r="Q177" i="6" s="1"/>
  <c r="S177" i="6" s="1"/>
  <c r="P176" i="6"/>
  <c r="Q176" i="6" s="1"/>
  <c r="P175" i="6"/>
  <c r="Q175" i="6" s="1"/>
  <c r="P174" i="6"/>
  <c r="Q174" i="6" s="1"/>
  <c r="P173" i="6"/>
  <c r="Q173" i="6" s="1"/>
  <c r="P172" i="6"/>
  <c r="Q172" i="6" s="1"/>
  <c r="R172" i="6" s="1"/>
  <c r="P171" i="6"/>
  <c r="Q171" i="6" s="1"/>
  <c r="P170" i="6"/>
  <c r="Q170" i="6" s="1"/>
  <c r="P169" i="6"/>
  <c r="Q169" i="6" s="1"/>
  <c r="P168" i="6"/>
  <c r="Q168" i="6" s="1"/>
  <c r="P167" i="6"/>
  <c r="Q167" i="6" s="1"/>
  <c r="P166" i="6"/>
  <c r="Q166" i="6" s="1"/>
  <c r="P165" i="6"/>
  <c r="Q165" i="6" s="1"/>
  <c r="P164" i="6"/>
  <c r="Q164" i="6" s="1"/>
  <c r="R164" i="6" s="1"/>
  <c r="P163" i="6"/>
  <c r="Q163" i="6" s="1"/>
  <c r="P162" i="6"/>
  <c r="Q162" i="6" s="1"/>
  <c r="P161" i="6"/>
  <c r="Q161" i="6" s="1"/>
  <c r="P160" i="6"/>
  <c r="Q160" i="6" s="1"/>
  <c r="P159" i="6"/>
  <c r="Q159" i="6" s="1"/>
  <c r="P158" i="6"/>
  <c r="Q158" i="6" s="1"/>
  <c r="P157" i="6"/>
  <c r="Q157" i="6" s="1"/>
  <c r="P156" i="6"/>
  <c r="Q156" i="6" s="1"/>
  <c r="P155" i="6"/>
  <c r="Q155" i="6" s="1"/>
  <c r="P154" i="6"/>
  <c r="Q154" i="6" s="1"/>
  <c r="P153" i="6"/>
  <c r="Q153" i="6" s="1"/>
  <c r="P152" i="6"/>
  <c r="Q152" i="6" s="1"/>
  <c r="R152" i="6" s="1"/>
  <c r="P151" i="6"/>
  <c r="Q151" i="6" s="1"/>
  <c r="R151" i="6" s="1"/>
  <c r="P150" i="6"/>
  <c r="Q150" i="6" s="1"/>
  <c r="P149" i="6"/>
  <c r="Q149" i="6" s="1"/>
  <c r="P148" i="6"/>
  <c r="Q148" i="6" s="1"/>
  <c r="R148" i="6" s="1"/>
  <c r="P147" i="6"/>
  <c r="Q147" i="6" s="1"/>
  <c r="P146" i="6"/>
  <c r="Q146" i="6" s="1"/>
  <c r="P145" i="6"/>
  <c r="Q145" i="6" s="1"/>
  <c r="S145" i="6" s="1"/>
  <c r="P144" i="6"/>
  <c r="Q144" i="6" s="1"/>
  <c r="R144" i="6" s="1"/>
  <c r="P143" i="6"/>
  <c r="Q143" i="6" s="1"/>
  <c r="P142" i="6"/>
  <c r="Q142" i="6" s="1"/>
  <c r="P141" i="6"/>
  <c r="Q141" i="6" s="1"/>
  <c r="P140" i="6"/>
  <c r="Q140" i="6" s="1"/>
  <c r="P139" i="6"/>
  <c r="Q139" i="6" s="1"/>
  <c r="P138" i="6"/>
  <c r="Q138" i="6" s="1"/>
  <c r="P137" i="6"/>
  <c r="Q137" i="6" s="1"/>
  <c r="P136" i="6"/>
  <c r="Q136" i="6" s="1"/>
  <c r="R136" i="6" s="1"/>
  <c r="P135" i="6"/>
  <c r="Q135" i="6" s="1"/>
  <c r="R135" i="6" s="1"/>
  <c r="P134" i="6"/>
  <c r="Q134" i="6" s="1"/>
  <c r="P133" i="6"/>
  <c r="Q133" i="6" s="1"/>
  <c r="P132" i="6"/>
  <c r="Q132" i="6" s="1"/>
  <c r="R132" i="6" s="1"/>
  <c r="P131" i="6"/>
  <c r="Q131" i="6" s="1"/>
  <c r="P130" i="6"/>
  <c r="Q130" i="6" s="1"/>
  <c r="P129" i="6"/>
  <c r="Q129" i="6" s="1"/>
  <c r="S129" i="6" s="1"/>
  <c r="P128" i="6"/>
  <c r="Q128" i="6" s="1"/>
  <c r="P127" i="6"/>
  <c r="Q127" i="6" s="1"/>
  <c r="R127" i="6" s="1"/>
  <c r="P126" i="6"/>
  <c r="Q126" i="6" s="1"/>
  <c r="P125" i="6"/>
  <c r="Q125" i="6" s="1"/>
  <c r="P124" i="6"/>
  <c r="Q124" i="6" s="1"/>
  <c r="R124" i="6" s="1"/>
  <c r="P123" i="6"/>
  <c r="Q123" i="6" s="1"/>
  <c r="P122" i="6"/>
  <c r="Q122" i="6" s="1"/>
  <c r="P121" i="6"/>
  <c r="Q121" i="6" s="1"/>
  <c r="S121" i="6" s="1"/>
  <c r="P120" i="6"/>
  <c r="Q120" i="6" s="1"/>
  <c r="P119" i="6"/>
  <c r="Q119" i="6" s="1"/>
  <c r="P118" i="6"/>
  <c r="Q118" i="6" s="1"/>
  <c r="P117" i="6"/>
  <c r="Q117" i="6" s="1"/>
  <c r="P116" i="6"/>
  <c r="Q116" i="6" s="1"/>
  <c r="P115" i="6"/>
  <c r="Q115" i="6" s="1"/>
  <c r="P114" i="6"/>
  <c r="Q114" i="6" s="1"/>
  <c r="P113" i="6"/>
  <c r="Q113" i="6" s="1"/>
  <c r="S113" i="6" s="1"/>
  <c r="P112" i="6"/>
  <c r="Q112" i="6" s="1"/>
  <c r="P111" i="6"/>
  <c r="Q111" i="6" s="1"/>
  <c r="P110" i="6"/>
  <c r="Q110" i="6" s="1"/>
  <c r="P109" i="6"/>
  <c r="Q109" i="6" s="1"/>
  <c r="P108" i="6"/>
  <c r="Q108" i="6" s="1"/>
  <c r="R108" i="6" s="1"/>
  <c r="P107" i="6"/>
  <c r="Q107" i="6" s="1"/>
  <c r="P106" i="6"/>
  <c r="Q106" i="6" s="1"/>
  <c r="P105" i="6"/>
  <c r="Q105" i="6" s="1"/>
  <c r="P104" i="6"/>
  <c r="Q104" i="6" s="1"/>
  <c r="P103" i="6"/>
  <c r="Q103" i="6" s="1"/>
  <c r="P102" i="6"/>
  <c r="Q102" i="6" s="1"/>
  <c r="P101" i="6"/>
  <c r="Q101" i="6" s="1"/>
  <c r="P100" i="6"/>
  <c r="Q100" i="6" s="1"/>
  <c r="R100" i="6" s="1"/>
  <c r="P99" i="6"/>
  <c r="Q99" i="6" s="1"/>
  <c r="P98" i="6"/>
  <c r="Q98" i="6" s="1"/>
  <c r="P97" i="6"/>
  <c r="Q97" i="6" s="1"/>
  <c r="S97" i="6" s="1"/>
  <c r="P96" i="6"/>
  <c r="Q96" i="6" s="1"/>
  <c r="P95" i="6"/>
  <c r="Q95" i="6" s="1"/>
  <c r="P94" i="6"/>
  <c r="Q94" i="6" s="1"/>
  <c r="P93" i="6"/>
  <c r="Q93" i="6" s="1"/>
  <c r="P92" i="6"/>
  <c r="Q92" i="6" s="1"/>
  <c r="R92" i="6" s="1"/>
  <c r="P91" i="6"/>
  <c r="Q91" i="6" s="1"/>
  <c r="P90" i="6"/>
  <c r="Q90" i="6" s="1"/>
  <c r="P89" i="6"/>
  <c r="Q89" i="6" s="1"/>
  <c r="P88" i="6"/>
  <c r="Q88" i="6" s="1"/>
  <c r="P87" i="6"/>
  <c r="Q87" i="6" s="1"/>
  <c r="P86" i="6"/>
  <c r="Q86" i="6" s="1"/>
  <c r="P85" i="6"/>
  <c r="Q85" i="6" s="1"/>
  <c r="P84" i="6"/>
  <c r="Q84" i="6" s="1"/>
  <c r="R84" i="6" s="1"/>
  <c r="P83" i="6"/>
  <c r="Q83" i="6" s="1"/>
  <c r="P82" i="6"/>
  <c r="Q82" i="6" s="1"/>
  <c r="P81" i="6"/>
  <c r="Q81" i="6" s="1"/>
  <c r="S81" i="6" s="1"/>
  <c r="P80" i="6"/>
  <c r="Q80" i="6" s="1"/>
  <c r="P79" i="6"/>
  <c r="Q79" i="6" s="1"/>
  <c r="P78" i="6"/>
  <c r="Q78" i="6" s="1"/>
  <c r="P77" i="6"/>
  <c r="Q77" i="6" s="1"/>
  <c r="P76" i="6"/>
  <c r="Q76" i="6" s="1"/>
  <c r="R76" i="6" s="1"/>
  <c r="P75" i="6"/>
  <c r="Q75" i="6" s="1"/>
  <c r="P74" i="6"/>
  <c r="Q74" i="6" s="1"/>
  <c r="P73" i="6"/>
  <c r="Q73" i="6" s="1"/>
  <c r="P72" i="6"/>
  <c r="Q72" i="6" s="1"/>
  <c r="P71" i="6"/>
  <c r="Q71" i="6" s="1"/>
  <c r="P70" i="6"/>
  <c r="Q70" i="6" s="1"/>
  <c r="P69" i="6"/>
  <c r="Q69" i="6" s="1"/>
  <c r="P68" i="6"/>
  <c r="Q68" i="6" s="1"/>
  <c r="R68" i="6" s="1"/>
  <c r="P67" i="6"/>
  <c r="Q67" i="6" s="1"/>
  <c r="P66" i="6"/>
  <c r="Q66" i="6" s="1"/>
  <c r="P65" i="6"/>
  <c r="Q65" i="6" s="1"/>
  <c r="S65" i="6" s="1"/>
  <c r="P64" i="6"/>
  <c r="Q64" i="6" s="1"/>
  <c r="P63" i="6"/>
  <c r="Q63" i="6" s="1"/>
  <c r="P62" i="6"/>
  <c r="Q62" i="6" s="1"/>
  <c r="P61" i="6"/>
  <c r="Q61" i="6" s="1"/>
  <c r="P60" i="6"/>
  <c r="Q60" i="6" s="1"/>
  <c r="R60" i="6" s="1"/>
  <c r="P59" i="6"/>
  <c r="Q59" i="6" s="1"/>
  <c r="P58" i="6"/>
  <c r="Q58" i="6" s="1"/>
  <c r="P57" i="6"/>
  <c r="Q57" i="6" s="1"/>
  <c r="P56" i="6"/>
  <c r="Q56" i="6" s="1"/>
  <c r="R56" i="6" s="1"/>
  <c r="P55" i="6"/>
  <c r="Q55" i="6" s="1"/>
  <c r="P54" i="6"/>
  <c r="Q54" i="6" s="1"/>
  <c r="P53" i="6"/>
  <c r="Q53" i="6" s="1"/>
  <c r="P52" i="6"/>
  <c r="Q52" i="6" s="1"/>
  <c r="R52" i="6" s="1"/>
  <c r="P51" i="6"/>
  <c r="Q51" i="6" s="1"/>
  <c r="P50" i="6"/>
  <c r="Q50" i="6" s="1"/>
  <c r="P49" i="6"/>
  <c r="Q49" i="6" s="1"/>
  <c r="S49" i="6" s="1"/>
  <c r="P48" i="6"/>
  <c r="Q48" i="6" s="1"/>
  <c r="P47" i="6"/>
  <c r="Q47" i="6" s="1"/>
  <c r="P46" i="6"/>
  <c r="Q46" i="6" s="1"/>
  <c r="P45" i="6"/>
  <c r="Q45" i="6" s="1"/>
  <c r="P44" i="6"/>
  <c r="Q44" i="6" s="1"/>
  <c r="P43" i="6"/>
  <c r="Q43" i="6" s="1"/>
  <c r="P42" i="6"/>
  <c r="Q42" i="6" s="1"/>
  <c r="P41" i="6"/>
  <c r="Q41" i="6" s="1"/>
  <c r="P40" i="6"/>
  <c r="Q40" i="6" s="1"/>
  <c r="P39" i="6"/>
  <c r="Q39" i="6" s="1"/>
  <c r="P38" i="6"/>
  <c r="Q38" i="6" s="1"/>
  <c r="P37" i="6"/>
  <c r="Q37" i="6" s="1"/>
  <c r="P36" i="6"/>
  <c r="Q36" i="6" s="1"/>
  <c r="R36" i="6" s="1"/>
  <c r="P35" i="6"/>
  <c r="Q35" i="6" s="1"/>
  <c r="P34" i="6"/>
  <c r="Q34" i="6" s="1"/>
  <c r="P33" i="6"/>
  <c r="Q33" i="6" s="1"/>
  <c r="S33" i="6" s="1"/>
  <c r="P32" i="6"/>
  <c r="Q32" i="6" s="1"/>
  <c r="P31" i="6"/>
  <c r="Q31" i="6" s="1"/>
  <c r="P30" i="6"/>
  <c r="Q30" i="6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R20" i="6" s="1"/>
  <c r="P19" i="6"/>
  <c r="Q19" i="6" s="1"/>
  <c r="P18" i="6"/>
  <c r="Q18" i="6" s="1"/>
  <c r="P17" i="6"/>
  <c r="Q17" i="6" s="1"/>
  <c r="S17" i="6" s="1"/>
  <c r="P16" i="6"/>
  <c r="Q16" i="6" s="1"/>
  <c r="R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T9" i="6" s="1"/>
  <c r="P8" i="6"/>
  <c r="Q8" i="6" s="1"/>
  <c r="R8" i="6" s="1"/>
  <c r="P7" i="6"/>
  <c r="Q7" i="6" s="1"/>
  <c r="P6" i="6"/>
  <c r="Q6" i="6" s="1"/>
  <c r="T6" i="6" s="1"/>
  <c r="R1087" i="6" l="1"/>
  <c r="R1041" i="6"/>
  <c r="R988" i="6"/>
  <c r="R1025" i="6"/>
  <c r="R1028" i="6"/>
  <c r="R1037" i="6"/>
  <c r="S6" i="6"/>
  <c r="R1099" i="6"/>
  <c r="R1080" i="6"/>
  <c r="R1049" i="6"/>
  <c r="R1015" i="6"/>
  <c r="R1001" i="6"/>
  <c r="R969" i="6"/>
  <c r="R953" i="6"/>
  <c r="R941" i="6"/>
  <c r="R865" i="6"/>
  <c r="R789" i="6"/>
  <c r="R669" i="6"/>
  <c r="R657" i="6"/>
  <c r="R613" i="6"/>
  <c r="S1057" i="6"/>
  <c r="S1033" i="6"/>
  <c r="S865" i="6"/>
  <c r="S617" i="6"/>
  <c r="S441" i="6"/>
  <c r="T1037" i="6"/>
  <c r="R1057" i="6"/>
  <c r="R1040" i="6"/>
  <c r="R1033" i="6"/>
  <c r="R1004" i="6"/>
  <c r="R980" i="6"/>
  <c r="R897" i="6"/>
  <c r="R881" i="6"/>
  <c r="R817" i="6"/>
  <c r="R713" i="6"/>
  <c r="R661" i="6"/>
  <c r="R597" i="6"/>
  <c r="S1001" i="6"/>
  <c r="S953" i="6"/>
  <c r="S881" i="6"/>
  <c r="S817" i="6"/>
  <c r="S657" i="6"/>
  <c r="S489" i="6"/>
  <c r="S313" i="6"/>
  <c r="R1068" i="6"/>
  <c r="R1007" i="6"/>
  <c r="R961" i="6"/>
  <c r="R849" i="6"/>
  <c r="R773" i="6"/>
  <c r="R653" i="6"/>
  <c r="R617" i="6"/>
  <c r="R557" i="6"/>
  <c r="S1041" i="6"/>
  <c r="S961" i="6"/>
  <c r="S897" i="6"/>
  <c r="S833" i="6"/>
  <c r="S665" i="6"/>
  <c r="S529" i="6"/>
  <c r="S353" i="6"/>
  <c r="R1092" i="6"/>
  <c r="R1048" i="6"/>
  <c r="R1012" i="6"/>
  <c r="R833" i="6"/>
  <c r="R757" i="6"/>
  <c r="R665" i="6"/>
  <c r="R621" i="6"/>
  <c r="S1049" i="6"/>
  <c r="S1025" i="6"/>
  <c r="S969" i="6"/>
  <c r="S849" i="6"/>
  <c r="S713" i="6"/>
  <c r="S537" i="6"/>
  <c r="S385" i="6"/>
  <c r="T15" i="6"/>
  <c r="S15" i="6"/>
  <c r="R15" i="6"/>
  <c r="T47" i="6"/>
  <c r="S47" i="6"/>
  <c r="R47" i="6"/>
  <c r="T79" i="6"/>
  <c r="S79" i="6"/>
  <c r="R79" i="6"/>
  <c r="T111" i="6"/>
  <c r="S111" i="6"/>
  <c r="R111" i="6"/>
  <c r="T115" i="6"/>
  <c r="S115" i="6"/>
  <c r="R115" i="6"/>
  <c r="T119" i="6"/>
  <c r="S119" i="6"/>
  <c r="R119" i="6"/>
  <c r="T147" i="6"/>
  <c r="S147" i="6"/>
  <c r="R147" i="6"/>
  <c r="T167" i="6"/>
  <c r="S167" i="6"/>
  <c r="R167" i="6"/>
  <c r="T207" i="6"/>
  <c r="S207" i="6"/>
  <c r="R207" i="6"/>
  <c r="T239" i="6"/>
  <c r="S239" i="6"/>
  <c r="R239" i="6"/>
  <c r="T271" i="6"/>
  <c r="S271" i="6"/>
  <c r="R271" i="6"/>
  <c r="T275" i="6"/>
  <c r="S275" i="6"/>
  <c r="R275" i="6"/>
  <c r="T279" i="6"/>
  <c r="S279" i="6"/>
  <c r="R279" i="6"/>
  <c r="T315" i="6"/>
  <c r="S315" i="6"/>
  <c r="R315" i="6"/>
  <c r="T323" i="6"/>
  <c r="S323" i="6"/>
  <c r="R323" i="6"/>
  <c r="T641" i="6"/>
  <c r="R641" i="6"/>
  <c r="S641" i="6"/>
  <c r="T708" i="6"/>
  <c r="S708" i="6"/>
  <c r="R708" i="6"/>
  <c r="T816" i="6"/>
  <c r="S816" i="6"/>
  <c r="R816" i="6"/>
  <c r="T848" i="6"/>
  <c r="S848" i="6"/>
  <c r="R848" i="6"/>
  <c r="T907" i="6"/>
  <c r="S907" i="6"/>
  <c r="R907" i="6"/>
  <c r="T923" i="6"/>
  <c r="S923" i="6"/>
  <c r="R923" i="6"/>
  <c r="T946" i="6"/>
  <c r="R946" i="6"/>
  <c r="S946" i="6"/>
  <c r="T982" i="6"/>
  <c r="R982" i="6"/>
  <c r="S982" i="6"/>
  <c r="T999" i="6"/>
  <c r="S999" i="6"/>
  <c r="R999" i="6"/>
  <c r="T1047" i="6"/>
  <c r="S1047" i="6"/>
  <c r="R1047" i="6"/>
  <c r="T1081" i="6"/>
  <c r="S1081" i="6"/>
  <c r="R1081" i="6"/>
  <c r="T7" i="6"/>
  <c r="S7" i="6"/>
  <c r="T39" i="6"/>
  <c r="S39" i="6"/>
  <c r="R39" i="6"/>
  <c r="T71" i="6"/>
  <c r="S71" i="6"/>
  <c r="R71" i="6"/>
  <c r="T103" i="6"/>
  <c r="S103" i="6"/>
  <c r="R103" i="6"/>
  <c r="T139" i="6"/>
  <c r="S139" i="6"/>
  <c r="R139" i="6"/>
  <c r="T199" i="6"/>
  <c r="S199" i="6"/>
  <c r="R199" i="6"/>
  <c r="T231" i="6"/>
  <c r="S231" i="6"/>
  <c r="R231" i="6"/>
  <c r="T263" i="6"/>
  <c r="S263" i="6"/>
  <c r="R263" i="6"/>
  <c r="T274" i="6"/>
  <c r="R274" i="6"/>
  <c r="S274" i="6"/>
  <c r="T352" i="6"/>
  <c r="S352" i="6"/>
  <c r="R352" i="6"/>
  <c r="T360" i="6"/>
  <c r="S360" i="6"/>
  <c r="R360" i="6"/>
  <c r="T387" i="6"/>
  <c r="S387" i="6"/>
  <c r="R387" i="6"/>
  <c r="T428" i="6"/>
  <c r="S428" i="6"/>
  <c r="R428" i="6"/>
  <c r="T451" i="6"/>
  <c r="S451" i="6"/>
  <c r="R451" i="6"/>
  <c r="T527" i="6"/>
  <c r="S527" i="6"/>
  <c r="R527" i="6"/>
  <c r="T599" i="6"/>
  <c r="S599" i="6"/>
  <c r="R599" i="6"/>
  <c r="T711" i="6"/>
  <c r="S711" i="6"/>
  <c r="R711" i="6"/>
  <c r="T784" i="6"/>
  <c r="S784" i="6"/>
  <c r="R784" i="6"/>
  <c r="T910" i="6"/>
  <c r="S910" i="6"/>
  <c r="R910" i="6"/>
  <c r="T926" i="6"/>
  <c r="S926" i="6"/>
  <c r="R926" i="6"/>
  <c r="T987" i="6"/>
  <c r="S987" i="6"/>
  <c r="R987" i="6"/>
  <c r="T994" i="6"/>
  <c r="R994" i="6"/>
  <c r="S994" i="6"/>
  <c r="T1002" i="6"/>
  <c r="R1002" i="6"/>
  <c r="S1002" i="6"/>
  <c r="T1050" i="6"/>
  <c r="R1050" i="6"/>
  <c r="S1050" i="6"/>
  <c r="R1062" i="6"/>
  <c r="T1062" i="6"/>
  <c r="S1062" i="6"/>
  <c r="R1086" i="6"/>
  <c r="T1086" i="6"/>
  <c r="S1086" i="6"/>
  <c r="T31" i="6"/>
  <c r="S31" i="6"/>
  <c r="R31" i="6"/>
  <c r="T63" i="6"/>
  <c r="S63" i="6"/>
  <c r="R63" i="6"/>
  <c r="T95" i="6"/>
  <c r="S95" i="6"/>
  <c r="R95" i="6"/>
  <c r="T191" i="6"/>
  <c r="S191" i="6"/>
  <c r="R191" i="6"/>
  <c r="T223" i="6"/>
  <c r="S223" i="6"/>
  <c r="R223" i="6"/>
  <c r="T255" i="6"/>
  <c r="S255" i="6"/>
  <c r="R255" i="6"/>
  <c r="T355" i="6"/>
  <c r="S355" i="6"/>
  <c r="R355" i="6"/>
  <c r="T363" i="6"/>
  <c r="S363" i="6"/>
  <c r="R363" i="6"/>
  <c r="T411" i="6"/>
  <c r="S411" i="6"/>
  <c r="R411" i="6"/>
  <c r="T431" i="6"/>
  <c r="S431" i="6"/>
  <c r="R431" i="6"/>
  <c r="T491" i="6"/>
  <c r="S491" i="6"/>
  <c r="R491" i="6"/>
  <c r="T547" i="6"/>
  <c r="S547" i="6"/>
  <c r="R547" i="6"/>
  <c r="T772" i="6"/>
  <c r="S772" i="6"/>
  <c r="R772" i="6"/>
  <c r="T882" i="6"/>
  <c r="R882" i="6"/>
  <c r="S882" i="6"/>
  <c r="T915" i="6"/>
  <c r="S915" i="6"/>
  <c r="R915" i="6"/>
  <c r="T931" i="6"/>
  <c r="S931" i="6"/>
  <c r="R931" i="6"/>
  <c r="T990" i="6"/>
  <c r="R990" i="6"/>
  <c r="S990" i="6"/>
  <c r="R1030" i="6"/>
  <c r="T1030" i="6"/>
  <c r="S1030" i="6"/>
  <c r="T1058" i="6"/>
  <c r="R1058" i="6"/>
  <c r="S1058" i="6"/>
  <c r="T1065" i="6"/>
  <c r="S1065" i="6"/>
  <c r="R1065" i="6"/>
  <c r="T1089" i="6"/>
  <c r="S1089" i="6"/>
  <c r="R1089" i="6"/>
  <c r="T1095" i="6"/>
  <c r="S1095" i="6"/>
  <c r="R1095" i="6"/>
  <c r="T23" i="6"/>
  <c r="S23" i="6"/>
  <c r="R23" i="6"/>
  <c r="T55" i="6"/>
  <c r="S55" i="6"/>
  <c r="R55" i="6"/>
  <c r="T87" i="6"/>
  <c r="S87" i="6"/>
  <c r="R87" i="6"/>
  <c r="T112" i="6"/>
  <c r="S112" i="6"/>
  <c r="R112" i="6"/>
  <c r="T116" i="6"/>
  <c r="S116" i="6"/>
  <c r="R116" i="6"/>
  <c r="T155" i="6"/>
  <c r="S155" i="6"/>
  <c r="R155" i="6"/>
  <c r="T175" i="6"/>
  <c r="S175" i="6"/>
  <c r="R175" i="6"/>
  <c r="T215" i="6"/>
  <c r="S215" i="6"/>
  <c r="R215" i="6"/>
  <c r="T247" i="6"/>
  <c r="S247" i="6"/>
  <c r="R247" i="6"/>
  <c r="T276" i="6"/>
  <c r="S276" i="6"/>
  <c r="R276" i="6"/>
  <c r="T312" i="6"/>
  <c r="S312" i="6"/>
  <c r="R312" i="6"/>
  <c r="T320" i="6"/>
  <c r="S320" i="6"/>
  <c r="R320" i="6"/>
  <c r="T705" i="6"/>
  <c r="R705" i="6"/>
  <c r="S705" i="6"/>
  <c r="T828" i="6"/>
  <c r="S828" i="6"/>
  <c r="R828" i="6"/>
  <c r="T870" i="6"/>
  <c r="S870" i="6"/>
  <c r="R870" i="6"/>
  <c r="T902" i="6"/>
  <c r="S902" i="6"/>
  <c r="R902" i="6"/>
  <c r="T918" i="6"/>
  <c r="S918" i="6"/>
  <c r="R918" i="6"/>
  <c r="T934" i="6"/>
  <c r="S934" i="6"/>
  <c r="R934" i="6"/>
  <c r="T979" i="6"/>
  <c r="S979" i="6"/>
  <c r="R979" i="6"/>
  <c r="T1042" i="6"/>
  <c r="R1042" i="6"/>
  <c r="S1042" i="6"/>
  <c r="T1067" i="6"/>
  <c r="S1067" i="6"/>
  <c r="R1067" i="6"/>
  <c r="T1091" i="6"/>
  <c r="S1091" i="6"/>
  <c r="R1091" i="6"/>
  <c r="T13" i="6"/>
  <c r="S13" i="6"/>
  <c r="R13" i="6"/>
  <c r="T19" i="6"/>
  <c r="S19" i="6"/>
  <c r="R19" i="6"/>
  <c r="T26" i="6"/>
  <c r="R26" i="6"/>
  <c r="S26" i="6"/>
  <c r="T32" i="6"/>
  <c r="S32" i="6"/>
  <c r="T35" i="6"/>
  <c r="S35" i="6"/>
  <c r="R35" i="6"/>
  <c r="T42" i="6"/>
  <c r="R42" i="6"/>
  <c r="S42" i="6"/>
  <c r="T45" i="6"/>
  <c r="S45" i="6"/>
  <c r="R45" i="6"/>
  <c r="T48" i="6"/>
  <c r="S48" i="6"/>
  <c r="T51" i="6"/>
  <c r="S51" i="6"/>
  <c r="R51" i="6"/>
  <c r="T61" i="6"/>
  <c r="S61" i="6"/>
  <c r="R61" i="6"/>
  <c r="T64" i="6"/>
  <c r="S64" i="6"/>
  <c r="T67" i="6"/>
  <c r="S67" i="6"/>
  <c r="T74" i="6"/>
  <c r="R74" i="6"/>
  <c r="S74" i="6"/>
  <c r="T77" i="6"/>
  <c r="S77" i="6"/>
  <c r="R77" i="6"/>
  <c r="T80" i="6"/>
  <c r="S80" i="6"/>
  <c r="T83" i="6"/>
  <c r="S83" i="6"/>
  <c r="T90" i="6"/>
  <c r="R90" i="6"/>
  <c r="S90" i="6"/>
  <c r="T93" i="6"/>
  <c r="S93" i="6"/>
  <c r="R93" i="6"/>
  <c r="T96" i="6"/>
  <c r="S96" i="6"/>
  <c r="T99" i="6"/>
  <c r="S99" i="6"/>
  <c r="T106" i="6"/>
  <c r="R106" i="6"/>
  <c r="S106" i="6"/>
  <c r="T109" i="6"/>
  <c r="S109" i="6"/>
  <c r="R109" i="6"/>
  <c r="T117" i="6"/>
  <c r="S117" i="6"/>
  <c r="R117" i="6"/>
  <c r="T120" i="6"/>
  <c r="S120" i="6"/>
  <c r="T123" i="6"/>
  <c r="S123" i="6"/>
  <c r="T126" i="6"/>
  <c r="S126" i="6"/>
  <c r="R126" i="6"/>
  <c r="T128" i="6"/>
  <c r="S128" i="6"/>
  <c r="T131" i="6"/>
  <c r="S131" i="6"/>
  <c r="T134" i="6"/>
  <c r="S134" i="6"/>
  <c r="R134" i="6"/>
  <c r="T137" i="6"/>
  <c r="R137" i="6"/>
  <c r="T140" i="6"/>
  <c r="S140" i="6"/>
  <c r="T143" i="6"/>
  <c r="S143" i="6"/>
  <c r="T150" i="6"/>
  <c r="S150" i="6"/>
  <c r="R150" i="6"/>
  <c r="T153" i="6"/>
  <c r="R153" i="6"/>
  <c r="T156" i="6"/>
  <c r="S156" i="6"/>
  <c r="T159" i="6"/>
  <c r="S159" i="6"/>
  <c r="T165" i="6"/>
  <c r="S165" i="6"/>
  <c r="R165" i="6"/>
  <c r="T168" i="6"/>
  <c r="S168" i="6"/>
  <c r="T171" i="6"/>
  <c r="S171" i="6"/>
  <c r="T178" i="6"/>
  <c r="R178" i="6"/>
  <c r="S178" i="6"/>
  <c r="T180" i="6"/>
  <c r="S180" i="6"/>
  <c r="T183" i="6"/>
  <c r="S183" i="6"/>
  <c r="T186" i="6"/>
  <c r="R186" i="6"/>
  <c r="S186" i="6"/>
  <c r="T189" i="6"/>
  <c r="S189" i="6"/>
  <c r="R189" i="6"/>
  <c r="T192" i="6"/>
  <c r="S192" i="6"/>
  <c r="T195" i="6"/>
  <c r="S195" i="6"/>
  <c r="T202" i="6"/>
  <c r="R202" i="6"/>
  <c r="S202" i="6"/>
  <c r="T205" i="6"/>
  <c r="S205" i="6"/>
  <c r="R205" i="6"/>
  <c r="T208" i="6"/>
  <c r="S208" i="6"/>
  <c r="T211" i="6"/>
  <c r="S211" i="6"/>
  <c r="T218" i="6"/>
  <c r="R218" i="6"/>
  <c r="S218" i="6"/>
  <c r="T221" i="6"/>
  <c r="S221" i="6"/>
  <c r="R221" i="6"/>
  <c r="T224" i="6"/>
  <c r="S224" i="6"/>
  <c r="T227" i="6"/>
  <c r="S227" i="6"/>
  <c r="T234" i="6"/>
  <c r="R234" i="6"/>
  <c r="S234" i="6"/>
  <c r="T237" i="6"/>
  <c r="S237" i="6"/>
  <c r="R237" i="6"/>
  <c r="T240" i="6"/>
  <c r="S240" i="6"/>
  <c r="T243" i="6"/>
  <c r="S243" i="6"/>
  <c r="T250" i="6"/>
  <c r="R250" i="6"/>
  <c r="S250" i="6"/>
  <c r="T253" i="6"/>
  <c r="S253" i="6"/>
  <c r="R253" i="6"/>
  <c r="T256" i="6"/>
  <c r="S256" i="6"/>
  <c r="T259" i="6"/>
  <c r="S259" i="6"/>
  <c r="T266" i="6"/>
  <c r="R266" i="6"/>
  <c r="S266" i="6"/>
  <c r="T269" i="6"/>
  <c r="S269" i="6"/>
  <c r="R269" i="6"/>
  <c r="T272" i="6"/>
  <c r="S272" i="6"/>
  <c r="T277" i="6"/>
  <c r="S277" i="6"/>
  <c r="R277" i="6"/>
  <c r="T280" i="6"/>
  <c r="S280" i="6"/>
  <c r="T283" i="6"/>
  <c r="S283" i="6"/>
  <c r="T286" i="6"/>
  <c r="S286" i="6"/>
  <c r="R286" i="6"/>
  <c r="T288" i="6"/>
  <c r="S288" i="6"/>
  <c r="T291" i="6"/>
  <c r="S291" i="6"/>
  <c r="T294" i="6"/>
  <c r="S294" i="6"/>
  <c r="R294" i="6"/>
  <c r="T296" i="6"/>
  <c r="S296" i="6"/>
  <c r="T299" i="6"/>
  <c r="S299" i="6"/>
  <c r="T302" i="6"/>
  <c r="S302" i="6"/>
  <c r="R302" i="6"/>
  <c r="T305" i="6"/>
  <c r="R305" i="6"/>
  <c r="T309" i="6"/>
  <c r="S309" i="6"/>
  <c r="R309" i="6"/>
  <c r="T318" i="6"/>
  <c r="S318" i="6"/>
  <c r="R318" i="6"/>
  <c r="T321" i="6"/>
  <c r="R321" i="6"/>
  <c r="T324" i="6"/>
  <c r="S324" i="6"/>
  <c r="T327" i="6"/>
  <c r="S327" i="6"/>
  <c r="T331" i="6"/>
  <c r="S331" i="6"/>
  <c r="T337" i="6"/>
  <c r="R337" i="6"/>
  <c r="T340" i="6"/>
  <c r="S340" i="6"/>
  <c r="T343" i="6"/>
  <c r="S343" i="6"/>
  <c r="T347" i="6"/>
  <c r="S347" i="6"/>
  <c r="T366" i="6"/>
  <c r="S366" i="6"/>
  <c r="R366" i="6"/>
  <c r="T369" i="6"/>
  <c r="R369" i="6"/>
  <c r="T372" i="6"/>
  <c r="S372" i="6"/>
  <c r="T375" i="6"/>
  <c r="S375" i="6"/>
  <c r="T379" i="6"/>
  <c r="S379" i="6"/>
  <c r="T397" i="6"/>
  <c r="S397" i="6"/>
  <c r="R397" i="6"/>
  <c r="T400" i="6"/>
  <c r="S400" i="6"/>
  <c r="T403" i="6"/>
  <c r="S403" i="6"/>
  <c r="T407" i="6"/>
  <c r="S407" i="6"/>
  <c r="T421" i="6"/>
  <c r="S421" i="6"/>
  <c r="R421" i="6"/>
  <c r="T425" i="6"/>
  <c r="R425" i="6"/>
  <c r="T434" i="6"/>
  <c r="R434" i="6"/>
  <c r="S434" i="6"/>
  <c r="T438" i="6"/>
  <c r="S438" i="6"/>
  <c r="R438" i="6"/>
  <c r="T440" i="6"/>
  <c r="S440" i="6"/>
  <c r="T443" i="6"/>
  <c r="S443" i="6"/>
  <c r="T446" i="6"/>
  <c r="S446" i="6"/>
  <c r="R446" i="6"/>
  <c r="T449" i="6"/>
  <c r="R449" i="6"/>
  <c r="T452" i="6"/>
  <c r="S452" i="6"/>
  <c r="T455" i="6"/>
  <c r="S455" i="6"/>
  <c r="T459" i="6"/>
  <c r="S459" i="6"/>
  <c r="T469" i="6"/>
  <c r="S469" i="6"/>
  <c r="R469" i="6"/>
  <c r="T472" i="6"/>
  <c r="S472" i="6"/>
  <c r="T475" i="6"/>
  <c r="S475" i="6"/>
  <c r="T479" i="6"/>
  <c r="S479" i="6"/>
  <c r="T496" i="6"/>
  <c r="S496" i="6"/>
  <c r="T499" i="6"/>
  <c r="S499" i="6"/>
  <c r="T502" i="6"/>
  <c r="S502" i="6"/>
  <c r="R502" i="6"/>
  <c r="T504" i="6"/>
  <c r="S504" i="6"/>
  <c r="T507" i="6"/>
  <c r="S507" i="6"/>
  <c r="T510" i="6"/>
  <c r="S510" i="6"/>
  <c r="R510" i="6"/>
  <c r="T512" i="6"/>
  <c r="S512" i="6"/>
  <c r="T515" i="6"/>
  <c r="S515" i="6"/>
  <c r="T518" i="6"/>
  <c r="S518" i="6"/>
  <c r="R518" i="6"/>
  <c r="T520" i="6"/>
  <c r="S520" i="6"/>
  <c r="T523" i="6"/>
  <c r="S523" i="6"/>
  <c r="T530" i="6"/>
  <c r="R530" i="6"/>
  <c r="S530" i="6"/>
  <c r="T532" i="6"/>
  <c r="S532" i="6"/>
  <c r="T535" i="6"/>
  <c r="S535" i="6"/>
  <c r="T538" i="6"/>
  <c r="R538" i="6"/>
  <c r="S538" i="6"/>
  <c r="T540" i="6"/>
  <c r="S540" i="6"/>
  <c r="T543" i="6"/>
  <c r="S543" i="6"/>
  <c r="T550" i="6"/>
  <c r="S550" i="6"/>
  <c r="R550" i="6"/>
  <c r="T552" i="6"/>
  <c r="S552" i="6"/>
  <c r="T555" i="6"/>
  <c r="S555" i="6"/>
  <c r="T558" i="6"/>
  <c r="S558" i="6"/>
  <c r="R558" i="6"/>
  <c r="T561" i="6"/>
  <c r="R561" i="6"/>
  <c r="T564" i="6"/>
  <c r="S564" i="6"/>
  <c r="T567" i="6"/>
  <c r="S567" i="6"/>
  <c r="T571" i="6"/>
  <c r="S571" i="6"/>
  <c r="T577" i="6"/>
  <c r="R577" i="6"/>
  <c r="T580" i="6"/>
  <c r="S580" i="6"/>
  <c r="T583" i="6"/>
  <c r="S583" i="6"/>
  <c r="T587" i="6"/>
  <c r="S587" i="6"/>
  <c r="T604" i="6"/>
  <c r="S604" i="6"/>
  <c r="T607" i="6"/>
  <c r="S607" i="6"/>
  <c r="T610" i="6"/>
  <c r="R610" i="6"/>
  <c r="S610" i="6"/>
  <c r="T614" i="6"/>
  <c r="S614" i="6"/>
  <c r="R614" i="6"/>
  <c r="T618" i="6"/>
  <c r="R618" i="6"/>
  <c r="S618" i="6"/>
  <c r="T622" i="6"/>
  <c r="S622" i="6"/>
  <c r="R622" i="6"/>
  <c r="T625" i="6"/>
  <c r="R625" i="6"/>
  <c r="T629" i="6"/>
  <c r="S629" i="6"/>
  <c r="R629" i="6"/>
  <c r="T633" i="6"/>
  <c r="R633" i="6"/>
  <c r="T637" i="6"/>
  <c r="S637" i="6"/>
  <c r="R637" i="6"/>
  <c r="T644" i="6"/>
  <c r="S644" i="6"/>
  <c r="T647" i="6"/>
  <c r="S647" i="6"/>
  <c r="T651" i="6"/>
  <c r="S651" i="6"/>
  <c r="T655" i="6"/>
  <c r="S655" i="6"/>
  <c r="T659" i="6"/>
  <c r="S659" i="6"/>
  <c r="T663" i="6"/>
  <c r="S663" i="6"/>
  <c r="T667" i="6"/>
  <c r="S667" i="6"/>
  <c r="T671" i="6"/>
  <c r="S671" i="6"/>
  <c r="T674" i="6"/>
  <c r="R674" i="6"/>
  <c r="S674" i="6"/>
  <c r="T677" i="6"/>
  <c r="S677" i="6"/>
  <c r="R677" i="6"/>
  <c r="T680" i="6"/>
  <c r="S680" i="6"/>
  <c r="T684" i="6"/>
  <c r="S684" i="6"/>
  <c r="T688" i="6"/>
  <c r="S688" i="6"/>
  <c r="T692" i="6"/>
  <c r="S692" i="6"/>
  <c r="T696" i="6"/>
  <c r="S696" i="6"/>
  <c r="T700" i="6"/>
  <c r="S700" i="6"/>
  <c r="T703" i="6"/>
  <c r="S703" i="6"/>
  <c r="T706" i="6"/>
  <c r="R706" i="6"/>
  <c r="S706" i="6"/>
  <c r="T709" i="6"/>
  <c r="S709" i="6"/>
  <c r="R709" i="6"/>
  <c r="T712" i="6"/>
  <c r="S712" i="6"/>
  <c r="T716" i="6"/>
  <c r="S716" i="6"/>
  <c r="T719" i="6"/>
  <c r="S719" i="6"/>
  <c r="T723" i="6"/>
  <c r="S723" i="6"/>
  <c r="T727" i="6"/>
  <c r="S727" i="6"/>
  <c r="T731" i="6"/>
  <c r="S731" i="6"/>
  <c r="T735" i="6"/>
  <c r="S735" i="6"/>
  <c r="T739" i="6"/>
  <c r="S739" i="6"/>
  <c r="T743" i="6"/>
  <c r="S743" i="6"/>
  <c r="T747" i="6"/>
  <c r="S747" i="6"/>
  <c r="T751" i="6"/>
  <c r="S751" i="6"/>
  <c r="T753" i="6"/>
  <c r="R753" i="6"/>
  <c r="T756" i="6"/>
  <c r="S756" i="6"/>
  <c r="T760" i="6"/>
  <c r="S760" i="6"/>
  <c r="T777" i="6"/>
  <c r="R777" i="6"/>
  <c r="T780" i="6"/>
  <c r="S780" i="6"/>
  <c r="T787" i="6"/>
  <c r="S787" i="6"/>
  <c r="T790" i="6"/>
  <c r="S790" i="6"/>
  <c r="R790" i="6"/>
  <c r="T794" i="6"/>
  <c r="R794" i="6"/>
  <c r="S794" i="6"/>
  <c r="T797" i="6"/>
  <c r="S797" i="6"/>
  <c r="R797" i="6"/>
  <c r="T800" i="6"/>
  <c r="S800" i="6"/>
  <c r="T804" i="6"/>
  <c r="S804" i="6"/>
  <c r="T821" i="6"/>
  <c r="S821" i="6"/>
  <c r="R821" i="6"/>
  <c r="T824" i="6"/>
  <c r="S824" i="6"/>
  <c r="T831" i="6"/>
  <c r="S831" i="6"/>
  <c r="T834" i="6"/>
  <c r="R834" i="6"/>
  <c r="S834" i="6"/>
  <c r="T838" i="6"/>
  <c r="S838" i="6"/>
  <c r="R838" i="6"/>
  <c r="T841" i="6"/>
  <c r="R841" i="6"/>
  <c r="T844" i="6"/>
  <c r="S844" i="6"/>
  <c r="T851" i="6"/>
  <c r="S851" i="6"/>
  <c r="T875" i="6"/>
  <c r="S875" i="6"/>
  <c r="T878" i="6"/>
  <c r="S878" i="6"/>
  <c r="R878" i="6"/>
  <c r="T885" i="6"/>
  <c r="S885" i="6"/>
  <c r="R885" i="6"/>
  <c r="T888" i="6"/>
  <c r="S888" i="6"/>
  <c r="T892" i="6"/>
  <c r="S892" i="6"/>
  <c r="T895" i="6"/>
  <c r="S895" i="6"/>
  <c r="T898" i="6"/>
  <c r="R898" i="6"/>
  <c r="S898" i="6"/>
  <c r="T904" i="6"/>
  <c r="S904" i="6"/>
  <c r="T912" i="6"/>
  <c r="S912" i="6"/>
  <c r="T920" i="6"/>
  <c r="S920" i="6"/>
  <c r="T928" i="6"/>
  <c r="S928" i="6"/>
  <c r="T936" i="6"/>
  <c r="S936" i="6"/>
  <c r="T939" i="6"/>
  <c r="S939" i="6"/>
  <c r="T942" i="6"/>
  <c r="S942" i="6"/>
  <c r="R942" i="6"/>
  <c r="T948" i="6"/>
  <c r="S948" i="6"/>
  <c r="T951" i="6"/>
  <c r="S951" i="6"/>
  <c r="T954" i="6"/>
  <c r="R954" i="6"/>
  <c r="S954" i="6"/>
  <c r="T958" i="6"/>
  <c r="R958" i="6"/>
  <c r="S958" i="6"/>
  <c r="T964" i="6"/>
  <c r="S964" i="6"/>
  <c r="T967" i="6"/>
  <c r="S967" i="6"/>
  <c r="T970" i="6"/>
  <c r="R970" i="6"/>
  <c r="S970" i="6"/>
  <c r="T974" i="6"/>
  <c r="R974" i="6"/>
  <c r="S974" i="6"/>
  <c r="T997" i="6"/>
  <c r="R997" i="6"/>
  <c r="T1000" i="6"/>
  <c r="S1000" i="6"/>
  <c r="T1003" i="6"/>
  <c r="S1003" i="6"/>
  <c r="T1006" i="6"/>
  <c r="R1006" i="6"/>
  <c r="S1006" i="6"/>
  <c r="T1009" i="6"/>
  <c r="R1009" i="6"/>
  <c r="T1011" i="6"/>
  <c r="S1011" i="6"/>
  <c r="T1014" i="6"/>
  <c r="R1014" i="6"/>
  <c r="S1014" i="6"/>
  <c r="T1018" i="6"/>
  <c r="R1018" i="6"/>
  <c r="S1018" i="6"/>
  <c r="T1076" i="6"/>
  <c r="S1076" i="6"/>
  <c r="R1078" i="6"/>
  <c r="T1078" i="6"/>
  <c r="S1078" i="6"/>
  <c r="T1083" i="6"/>
  <c r="S1083" i="6"/>
  <c r="T1096" i="6"/>
  <c r="S1096" i="6"/>
  <c r="T1098" i="6"/>
  <c r="R1098" i="6"/>
  <c r="S1098" i="6"/>
  <c r="T1104" i="6"/>
  <c r="S1104" i="6"/>
  <c r="T1106" i="6"/>
  <c r="R1106" i="6"/>
  <c r="S1106" i="6"/>
  <c r="T1112" i="6"/>
  <c r="S1112" i="6"/>
  <c r="T1114" i="6"/>
  <c r="R1114" i="6"/>
  <c r="S1114" i="6"/>
  <c r="R1105" i="6"/>
  <c r="R1073" i="6"/>
  <c r="R1011" i="6"/>
  <c r="R1003" i="6"/>
  <c r="R967" i="6"/>
  <c r="R895" i="6"/>
  <c r="R851" i="6"/>
  <c r="R844" i="6"/>
  <c r="R831" i="6"/>
  <c r="R800" i="6"/>
  <c r="R787" i="6"/>
  <c r="R751" i="6"/>
  <c r="R743" i="6"/>
  <c r="R735" i="6"/>
  <c r="R727" i="6"/>
  <c r="R719" i="6"/>
  <c r="R712" i="6"/>
  <c r="R696" i="6"/>
  <c r="R688" i="6"/>
  <c r="R680" i="6"/>
  <c r="R667" i="6"/>
  <c r="R651" i="6"/>
  <c r="R587" i="6"/>
  <c r="R571" i="6"/>
  <c r="R540" i="6"/>
  <c r="R532" i="6"/>
  <c r="R452" i="6"/>
  <c r="R372" i="6"/>
  <c r="R340" i="6"/>
  <c r="R324" i="6"/>
  <c r="R180" i="6"/>
  <c r="R156" i="6"/>
  <c r="R140" i="6"/>
  <c r="R48" i="6"/>
  <c r="R32" i="6"/>
  <c r="S1105" i="6"/>
  <c r="S1073" i="6"/>
  <c r="S1009" i="6"/>
  <c r="S753" i="6"/>
  <c r="S625" i="6"/>
  <c r="S561" i="6"/>
  <c r="S369" i="6"/>
  <c r="S337" i="6"/>
  <c r="S305" i="6"/>
  <c r="T1093" i="6"/>
  <c r="T1061" i="6"/>
  <c r="T1029" i="6"/>
  <c r="T10" i="6"/>
  <c r="R10" i="6"/>
  <c r="S10" i="6"/>
  <c r="T16" i="6"/>
  <c r="S16" i="6"/>
  <c r="T29" i="6"/>
  <c r="S29" i="6"/>
  <c r="R29" i="6"/>
  <c r="T58" i="6"/>
  <c r="R58" i="6"/>
  <c r="S58" i="6"/>
  <c r="T162" i="6"/>
  <c r="R162" i="6"/>
  <c r="S162" i="6"/>
  <c r="T855" i="6"/>
  <c r="S855" i="6"/>
  <c r="T12" i="6"/>
  <c r="S12" i="6"/>
  <c r="T22" i="6"/>
  <c r="S22" i="6"/>
  <c r="R22" i="6"/>
  <c r="T25" i="6"/>
  <c r="R25" i="6"/>
  <c r="T28" i="6"/>
  <c r="S28" i="6"/>
  <c r="T38" i="6"/>
  <c r="S38" i="6"/>
  <c r="R38" i="6"/>
  <c r="T41" i="6"/>
  <c r="R41" i="6"/>
  <c r="T44" i="6"/>
  <c r="S44" i="6"/>
  <c r="T54" i="6"/>
  <c r="S54" i="6"/>
  <c r="R54" i="6"/>
  <c r="T57" i="6"/>
  <c r="R57" i="6"/>
  <c r="T60" i="6"/>
  <c r="S60" i="6"/>
  <c r="T70" i="6"/>
  <c r="S70" i="6"/>
  <c r="R70" i="6"/>
  <c r="T73" i="6"/>
  <c r="R73" i="6"/>
  <c r="T76" i="6"/>
  <c r="S76" i="6"/>
  <c r="T86" i="6"/>
  <c r="S86" i="6"/>
  <c r="R86" i="6"/>
  <c r="T89" i="6"/>
  <c r="R89" i="6"/>
  <c r="T92" i="6"/>
  <c r="S92" i="6"/>
  <c r="T102" i="6"/>
  <c r="S102" i="6"/>
  <c r="R102" i="6"/>
  <c r="T105" i="6"/>
  <c r="R105" i="6"/>
  <c r="T108" i="6"/>
  <c r="S108" i="6"/>
  <c r="T114" i="6"/>
  <c r="R114" i="6"/>
  <c r="S114" i="6"/>
  <c r="T125" i="6"/>
  <c r="S125" i="6"/>
  <c r="R125" i="6"/>
  <c r="T133" i="6"/>
  <c r="S133" i="6"/>
  <c r="R133" i="6"/>
  <c r="T136" i="6"/>
  <c r="S136" i="6"/>
  <c r="T146" i="6"/>
  <c r="R146" i="6"/>
  <c r="S146" i="6"/>
  <c r="T149" i="6"/>
  <c r="S149" i="6"/>
  <c r="R149" i="6"/>
  <c r="T152" i="6"/>
  <c r="S152" i="6"/>
  <c r="T161" i="6"/>
  <c r="R161" i="6"/>
  <c r="T164" i="6"/>
  <c r="S164" i="6"/>
  <c r="T174" i="6"/>
  <c r="S174" i="6"/>
  <c r="R174" i="6"/>
  <c r="T177" i="6"/>
  <c r="R177" i="6"/>
  <c r="T185" i="6"/>
  <c r="R185" i="6"/>
  <c r="T188" i="6"/>
  <c r="S188" i="6"/>
  <c r="T198" i="6"/>
  <c r="S198" i="6"/>
  <c r="R198" i="6"/>
  <c r="T201" i="6"/>
  <c r="R201" i="6"/>
  <c r="T204" i="6"/>
  <c r="S204" i="6"/>
  <c r="T214" i="6"/>
  <c r="S214" i="6"/>
  <c r="R214" i="6"/>
  <c r="T217" i="6"/>
  <c r="R217" i="6"/>
  <c r="T220" i="6"/>
  <c r="S220" i="6"/>
  <c r="T230" i="6"/>
  <c r="S230" i="6"/>
  <c r="R230" i="6"/>
  <c r="T233" i="6"/>
  <c r="R233" i="6"/>
  <c r="T236" i="6"/>
  <c r="S236" i="6"/>
  <c r="T246" i="6"/>
  <c r="S246" i="6"/>
  <c r="R246" i="6"/>
  <c r="T249" i="6"/>
  <c r="R249" i="6"/>
  <c r="T252" i="6"/>
  <c r="S252" i="6"/>
  <c r="T262" i="6"/>
  <c r="S262" i="6"/>
  <c r="R262" i="6"/>
  <c r="T265" i="6"/>
  <c r="R265" i="6"/>
  <c r="T268" i="6"/>
  <c r="S268" i="6"/>
  <c r="T285" i="6"/>
  <c r="S285" i="6"/>
  <c r="R285" i="6"/>
  <c r="T293" i="6"/>
  <c r="S293" i="6"/>
  <c r="R293" i="6"/>
  <c r="T301" i="6"/>
  <c r="S301" i="6"/>
  <c r="R301" i="6"/>
  <c r="T304" i="6"/>
  <c r="S304" i="6"/>
  <c r="T308" i="6"/>
  <c r="S308" i="6"/>
  <c r="T311" i="6"/>
  <c r="S311" i="6"/>
  <c r="T314" i="6"/>
  <c r="R314" i="6"/>
  <c r="S314" i="6"/>
  <c r="T317" i="6"/>
  <c r="S317" i="6"/>
  <c r="R317" i="6"/>
  <c r="T330" i="6"/>
  <c r="R330" i="6"/>
  <c r="S330" i="6"/>
  <c r="T333" i="6"/>
  <c r="S333" i="6"/>
  <c r="R333" i="6"/>
  <c r="T336" i="6"/>
  <c r="S336" i="6"/>
  <c r="T346" i="6"/>
  <c r="R346" i="6"/>
  <c r="S346" i="6"/>
  <c r="T350" i="6"/>
  <c r="S350" i="6"/>
  <c r="R350" i="6"/>
  <c r="T359" i="6"/>
  <c r="S359" i="6"/>
  <c r="T378" i="6"/>
  <c r="R378" i="6"/>
  <c r="S378" i="6"/>
  <c r="T381" i="6"/>
  <c r="S381" i="6"/>
  <c r="R381" i="6"/>
  <c r="T384" i="6"/>
  <c r="S384" i="6"/>
  <c r="T390" i="6"/>
  <c r="S390" i="6"/>
  <c r="R390" i="6"/>
  <c r="T393" i="6"/>
  <c r="R393" i="6"/>
  <c r="T396" i="6"/>
  <c r="S396" i="6"/>
  <c r="T406" i="6"/>
  <c r="S406" i="6"/>
  <c r="R406" i="6"/>
  <c r="T409" i="6"/>
  <c r="R409" i="6"/>
  <c r="T414" i="6"/>
  <c r="S414" i="6"/>
  <c r="R414" i="6"/>
  <c r="T417" i="6"/>
  <c r="R417" i="6"/>
  <c r="T420" i="6"/>
  <c r="S420" i="6"/>
  <c r="T424" i="6"/>
  <c r="S424" i="6"/>
  <c r="T427" i="6"/>
  <c r="S427" i="6"/>
  <c r="T430" i="6"/>
  <c r="S430" i="6"/>
  <c r="R430" i="6"/>
  <c r="T433" i="6"/>
  <c r="R433" i="6"/>
  <c r="T437" i="6"/>
  <c r="S437" i="6"/>
  <c r="R437" i="6"/>
  <c r="T445" i="6"/>
  <c r="S445" i="6"/>
  <c r="R445" i="6"/>
  <c r="T448" i="6"/>
  <c r="S448" i="6"/>
  <c r="T458" i="6"/>
  <c r="R458" i="6"/>
  <c r="S458" i="6"/>
  <c r="T462" i="6"/>
  <c r="S462" i="6"/>
  <c r="R462" i="6"/>
  <c r="T465" i="6"/>
  <c r="R465" i="6"/>
  <c r="T468" i="6"/>
  <c r="S468" i="6"/>
  <c r="T478" i="6"/>
  <c r="S478" i="6"/>
  <c r="R478" i="6"/>
  <c r="T482" i="6"/>
  <c r="R482" i="6"/>
  <c r="S482" i="6"/>
  <c r="T485" i="6"/>
  <c r="S485" i="6"/>
  <c r="R485" i="6"/>
  <c r="T488" i="6"/>
  <c r="S488" i="6"/>
  <c r="T495" i="6"/>
  <c r="S495" i="6"/>
  <c r="T570" i="6"/>
  <c r="R570" i="6"/>
  <c r="S570" i="6"/>
  <c r="T573" i="6"/>
  <c r="S573" i="6"/>
  <c r="R573" i="6"/>
  <c r="T576" i="6"/>
  <c r="S576" i="6"/>
  <c r="T586" i="6"/>
  <c r="R586" i="6"/>
  <c r="S586" i="6"/>
  <c r="T590" i="6"/>
  <c r="S590" i="6"/>
  <c r="R590" i="6"/>
  <c r="T593" i="6"/>
  <c r="R593" i="6"/>
  <c r="T596" i="6"/>
  <c r="S596" i="6"/>
  <c r="T603" i="6"/>
  <c r="S603" i="6"/>
  <c r="T650" i="6"/>
  <c r="R650" i="6"/>
  <c r="S650" i="6"/>
  <c r="T654" i="6"/>
  <c r="S654" i="6"/>
  <c r="R654" i="6"/>
  <c r="T658" i="6"/>
  <c r="R658" i="6"/>
  <c r="S658" i="6"/>
  <c r="T662" i="6"/>
  <c r="S662" i="6"/>
  <c r="R662" i="6"/>
  <c r="T666" i="6"/>
  <c r="R666" i="6"/>
  <c r="S666" i="6"/>
  <c r="T670" i="6"/>
  <c r="S670" i="6"/>
  <c r="R670" i="6"/>
  <c r="T673" i="6"/>
  <c r="R673" i="6"/>
  <c r="T679" i="6"/>
  <c r="S679" i="6"/>
  <c r="T683" i="6"/>
  <c r="S683" i="6"/>
  <c r="T687" i="6"/>
  <c r="S687" i="6"/>
  <c r="T691" i="6"/>
  <c r="S691" i="6"/>
  <c r="T695" i="6"/>
  <c r="S695" i="6"/>
  <c r="T699" i="6"/>
  <c r="S699" i="6"/>
  <c r="T702" i="6"/>
  <c r="S702" i="6"/>
  <c r="R702" i="6"/>
  <c r="T715" i="6"/>
  <c r="S715" i="6"/>
  <c r="T718" i="6"/>
  <c r="S718" i="6"/>
  <c r="R718" i="6"/>
  <c r="T722" i="6"/>
  <c r="R722" i="6"/>
  <c r="S722" i="6"/>
  <c r="T726" i="6"/>
  <c r="S726" i="6"/>
  <c r="R726" i="6"/>
  <c r="T730" i="6"/>
  <c r="R730" i="6"/>
  <c r="S730" i="6"/>
  <c r="T734" i="6"/>
  <c r="S734" i="6"/>
  <c r="R734" i="6"/>
  <c r="T738" i="6"/>
  <c r="R738" i="6"/>
  <c r="S738" i="6"/>
  <c r="T742" i="6"/>
  <c r="S742" i="6"/>
  <c r="R742" i="6"/>
  <c r="T746" i="6"/>
  <c r="R746" i="6"/>
  <c r="S746" i="6"/>
  <c r="T750" i="6"/>
  <c r="S750" i="6"/>
  <c r="R750" i="6"/>
  <c r="T759" i="6"/>
  <c r="S759" i="6"/>
  <c r="T763" i="6"/>
  <c r="S763" i="6"/>
  <c r="T766" i="6"/>
  <c r="S766" i="6"/>
  <c r="R766" i="6"/>
  <c r="T769" i="6"/>
  <c r="R769" i="6"/>
  <c r="T776" i="6"/>
  <c r="S776" i="6"/>
  <c r="T793" i="6"/>
  <c r="R793" i="6"/>
  <c r="T796" i="6"/>
  <c r="S796" i="6"/>
  <c r="T803" i="6"/>
  <c r="S803" i="6"/>
  <c r="T807" i="6"/>
  <c r="S807" i="6"/>
  <c r="T810" i="6"/>
  <c r="R810" i="6"/>
  <c r="S810" i="6"/>
  <c r="T813" i="6"/>
  <c r="S813" i="6"/>
  <c r="R813" i="6"/>
  <c r="T820" i="6"/>
  <c r="S820" i="6"/>
  <c r="T837" i="6"/>
  <c r="S837" i="6"/>
  <c r="R837" i="6"/>
  <c r="T840" i="6"/>
  <c r="S840" i="6"/>
  <c r="T847" i="6"/>
  <c r="S847" i="6"/>
  <c r="T850" i="6"/>
  <c r="R850" i="6"/>
  <c r="S850" i="6"/>
  <c r="T854" i="6"/>
  <c r="S854" i="6"/>
  <c r="R854" i="6"/>
  <c r="T857" i="6"/>
  <c r="R857" i="6"/>
  <c r="T861" i="6"/>
  <c r="S861" i="6"/>
  <c r="R861" i="6"/>
  <c r="T864" i="6"/>
  <c r="S864" i="6"/>
  <c r="T867" i="6"/>
  <c r="S867" i="6"/>
  <c r="T874" i="6"/>
  <c r="R874" i="6"/>
  <c r="S874" i="6"/>
  <c r="T891" i="6"/>
  <c r="S891" i="6"/>
  <c r="T894" i="6"/>
  <c r="S894" i="6"/>
  <c r="R894" i="6"/>
  <c r="T901" i="6"/>
  <c r="S901" i="6"/>
  <c r="R901" i="6"/>
  <c r="T903" i="6"/>
  <c r="S903" i="6"/>
  <c r="T906" i="6"/>
  <c r="R906" i="6"/>
  <c r="S906" i="6"/>
  <c r="T909" i="6"/>
  <c r="S909" i="6"/>
  <c r="R909" i="6"/>
  <c r="T911" i="6"/>
  <c r="S911" i="6"/>
  <c r="T914" i="6"/>
  <c r="R914" i="6"/>
  <c r="S914" i="6"/>
  <c r="T917" i="6"/>
  <c r="S917" i="6"/>
  <c r="R917" i="6"/>
  <c r="T919" i="6"/>
  <c r="S919" i="6"/>
  <c r="T922" i="6"/>
  <c r="R922" i="6"/>
  <c r="S922" i="6"/>
  <c r="T925" i="6"/>
  <c r="S925" i="6"/>
  <c r="R925" i="6"/>
  <c r="T927" i="6"/>
  <c r="S927" i="6"/>
  <c r="T930" i="6"/>
  <c r="R930" i="6"/>
  <c r="S930" i="6"/>
  <c r="T933" i="6"/>
  <c r="S933" i="6"/>
  <c r="R933" i="6"/>
  <c r="T935" i="6"/>
  <c r="S935" i="6"/>
  <c r="T938" i="6"/>
  <c r="R938" i="6"/>
  <c r="S938" i="6"/>
  <c r="T945" i="6"/>
  <c r="R945" i="6"/>
  <c r="T947" i="6"/>
  <c r="S947" i="6"/>
  <c r="T950" i="6"/>
  <c r="R950" i="6"/>
  <c r="S950" i="6"/>
  <c r="T957" i="6"/>
  <c r="R957" i="6"/>
  <c r="T960" i="6"/>
  <c r="S960" i="6"/>
  <c r="T963" i="6"/>
  <c r="S963" i="6"/>
  <c r="T973" i="6"/>
  <c r="R973" i="6"/>
  <c r="T977" i="6"/>
  <c r="R977" i="6"/>
  <c r="T985" i="6"/>
  <c r="R985" i="6"/>
  <c r="T993" i="6"/>
  <c r="R993" i="6"/>
  <c r="T996" i="6"/>
  <c r="S996" i="6"/>
  <c r="T1017" i="6"/>
  <c r="R1017" i="6"/>
  <c r="T1021" i="6"/>
  <c r="R1021" i="6"/>
  <c r="T1024" i="6"/>
  <c r="S1024" i="6"/>
  <c r="T1027" i="6"/>
  <c r="S1027" i="6"/>
  <c r="T1036" i="6"/>
  <c r="S1036" i="6"/>
  <c r="T1039" i="6"/>
  <c r="S1039" i="6"/>
  <c r="T1056" i="6"/>
  <c r="S1056" i="6"/>
  <c r="T1064" i="6"/>
  <c r="S1064" i="6"/>
  <c r="T1066" i="6"/>
  <c r="R1066" i="6"/>
  <c r="S1066" i="6"/>
  <c r="T1072" i="6"/>
  <c r="S1072" i="6"/>
  <c r="T1075" i="6"/>
  <c r="S1075" i="6"/>
  <c r="T1088" i="6"/>
  <c r="S1088" i="6"/>
  <c r="T1090" i="6"/>
  <c r="R1090" i="6"/>
  <c r="S1090" i="6"/>
  <c r="T1103" i="6"/>
  <c r="S1103" i="6"/>
  <c r="T1108" i="6"/>
  <c r="S1108" i="6"/>
  <c r="T1111" i="6"/>
  <c r="S1111" i="6"/>
  <c r="R9" i="6"/>
  <c r="R1112" i="6"/>
  <c r="R1101" i="6"/>
  <c r="R1096" i="6"/>
  <c r="R1085" i="6"/>
  <c r="R1075" i="6"/>
  <c r="R1069" i="6"/>
  <c r="R1064" i="6"/>
  <c r="R1053" i="6"/>
  <c r="R1027" i="6"/>
  <c r="R948" i="6"/>
  <c r="R935" i="6"/>
  <c r="R927" i="6"/>
  <c r="R919" i="6"/>
  <c r="R911" i="6"/>
  <c r="R903" i="6"/>
  <c r="R888" i="6"/>
  <c r="R875" i="6"/>
  <c r="R867" i="6"/>
  <c r="R847" i="6"/>
  <c r="R824" i="6"/>
  <c r="R803" i="6"/>
  <c r="R780" i="6"/>
  <c r="R759" i="6"/>
  <c r="R699" i="6"/>
  <c r="R691" i="6"/>
  <c r="R683" i="6"/>
  <c r="R663" i="6"/>
  <c r="R644" i="6"/>
  <c r="R603" i="6"/>
  <c r="R596" i="6"/>
  <c r="R580" i="6"/>
  <c r="R564" i="6"/>
  <c r="R543" i="6"/>
  <c r="R535" i="6"/>
  <c r="R495" i="6"/>
  <c r="R479" i="6"/>
  <c r="R455" i="6"/>
  <c r="R407" i="6"/>
  <c r="R375" i="6"/>
  <c r="R359" i="6"/>
  <c r="R343" i="6"/>
  <c r="R327" i="6"/>
  <c r="R311" i="6"/>
  <c r="R183" i="6"/>
  <c r="R159" i="6"/>
  <c r="R143" i="6"/>
  <c r="S1109" i="6"/>
  <c r="S1093" i="6"/>
  <c r="S1077" i="6"/>
  <c r="S1061" i="6"/>
  <c r="S1045" i="6"/>
  <c r="S1029" i="6"/>
  <c r="S997" i="6"/>
  <c r="S857" i="6"/>
  <c r="S793" i="6"/>
  <c r="S633" i="6"/>
  <c r="S409" i="6"/>
  <c r="S249" i="6"/>
  <c r="S217" i="6"/>
  <c r="S185" i="6"/>
  <c r="S153" i="6"/>
  <c r="S89" i="6"/>
  <c r="S57" i="6"/>
  <c r="S25" i="6"/>
  <c r="T1101" i="6"/>
  <c r="T1069" i="6"/>
  <c r="T8" i="6"/>
  <c r="S8" i="6"/>
  <c r="T18" i="6"/>
  <c r="R18" i="6"/>
  <c r="S18" i="6"/>
  <c r="T24" i="6"/>
  <c r="S24" i="6"/>
  <c r="T40" i="6"/>
  <c r="S40" i="6"/>
  <c r="T53" i="6"/>
  <c r="S53" i="6"/>
  <c r="R53" i="6"/>
  <c r="T59" i="6"/>
  <c r="S59" i="6"/>
  <c r="T66" i="6"/>
  <c r="R66" i="6"/>
  <c r="S66" i="6"/>
  <c r="T69" i="6"/>
  <c r="S69" i="6"/>
  <c r="R69" i="6"/>
  <c r="T72" i="6"/>
  <c r="S72" i="6"/>
  <c r="T82" i="6"/>
  <c r="R82" i="6"/>
  <c r="S82" i="6"/>
  <c r="T85" i="6"/>
  <c r="S85" i="6"/>
  <c r="R85" i="6"/>
  <c r="T88" i="6"/>
  <c r="S88" i="6"/>
  <c r="T91" i="6"/>
  <c r="S91" i="6"/>
  <c r="T98" i="6"/>
  <c r="R98" i="6"/>
  <c r="S98" i="6"/>
  <c r="T101" i="6"/>
  <c r="S101" i="6"/>
  <c r="R101" i="6"/>
  <c r="T104" i="6"/>
  <c r="S104" i="6"/>
  <c r="T107" i="6"/>
  <c r="S107" i="6"/>
  <c r="T113" i="6"/>
  <c r="R113" i="6"/>
  <c r="T122" i="6"/>
  <c r="R122" i="6"/>
  <c r="S122" i="6"/>
  <c r="T124" i="6"/>
  <c r="S124" i="6"/>
  <c r="T127" i="6"/>
  <c r="S127" i="6"/>
  <c r="T130" i="6"/>
  <c r="R130" i="6"/>
  <c r="S130" i="6"/>
  <c r="T132" i="6"/>
  <c r="S132" i="6"/>
  <c r="T135" i="6"/>
  <c r="S135" i="6"/>
  <c r="T142" i="6"/>
  <c r="S142" i="6"/>
  <c r="R142" i="6"/>
  <c r="T145" i="6"/>
  <c r="R145" i="6"/>
  <c r="T148" i="6"/>
  <c r="S148" i="6"/>
  <c r="T151" i="6"/>
  <c r="S151" i="6"/>
  <c r="T158" i="6"/>
  <c r="S158" i="6"/>
  <c r="R158" i="6"/>
  <c r="T160" i="6"/>
  <c r="S160" i="6"/>
  <c r="T163" i="6"/>
  <c r="S163" i="6"/>
  <c r="T170" i="6"/>
  <c r="R170" i="6"/>
  <c r="S170" i="6"/>
  <c r="T176" i="6"/>
  <c r="S176" i="6"/>
  <c r="T179" i="6"/>
  <c r="S179" i="6"/>
  <c r="T182" i="6"/>
  <c r="S182" i="6"/>
  <c r="R182" i="6"/>
  <c r="T184" i="6"/>
  <c r="S184" i="6"/>
  <c r="T187" i="6"/>
  <c r="S187" i="6"/>
  <c r="T194" i="6"/>
  <c r="R194" i="6"/>
  <c r="S194" i="6"/>
  <c r="T197" i="6"/>
  <c r="S197" i="6"/>
  <c r="R197" i="6"/>
  <c r="T200" i="6"/>
  <c r="S200" i="6"/>
  <c r="T203" i="6"/>
  <c r="S203" i="6"/>
  <c r="T210" i="6"/>
  <c r="R210" i="6"/>
  <c r="S210" i="6"/>
  <c r="T213" i="6"/>
  <c r="S213" i="6"/>
  <c r="R213" i="6"/>
  <c r="T216" i="6"/>
  <c r="S216" i="6"/>
  <c r="T219" i="6"/>
  <c r="S219" i="6"/>
  <c r="T226" i="6"/>
  <c r="R226" i="6"/>
  <c r="S226" i="6"/>
  <c r="T229" i="6"/>
  <c r="S229" i="6"/>
  <c r="R229" i="6"/>
  <c r="T232" i="6"/>
  <c r="S232" i="6"/>
  <c r="T235" i="6"/>
  <c r="S235" i="6"/>
  <c r="T242" i="6"/>
  <c r="R242" i="6"/>
  <c r="S242" i="6"/>
  <c r="T245" i="6"/>
  <c r="S245" i="6"/>
  <c r="R245" i="6"/>
  <c r="T248" i="6"/>
  <c r="S248" i="6"/>
  <c r="T251" i="6"/>
  <c r="S251" i="6"/>
  <c r="T258" i="6"/>
  <c r="R258" i="6"/>
  <c r="S258" i="6"/>
  <c r="T261" i="6"/>
  <c r="S261" i="6"/>
  <c r="R261" i="6"/>
  <c r="T264" i="6"/>
  <c r="S264" i="6"/>
  <c r="T267" i="6"/>
  <c r="S267" i="6"/>
  <c r="T282" i="6"/>
  <c r="R282" i="6"/>
  <c r="S282" i="6"/>
  <c r="T284" i="6"/>
  <c r="S284" i="6"/>
  <c r="T287" i="6"/>
  <c r="S287" i="6"/>
  <c r="T290" i="6"/>
  <c r="R290" i="6"/>
  <c r="S290" i="6"/>
  <c r="T292" i="6"/>
  <c r="S292" i="6"/>
  <c r="T295" i="6"/>
  <c r="S295" i="6"/>
  <c r="T298" i="6"/>
  <c r="R298" i="6"/>
  <c r="S298" i="6"/>
  <c r="T300" i="6"/>
  <c r="S300" i="6"/>
  <c r="T303" i="6"/>
  <c r="S303" i="6"/>
  <c r="T307" i="6"/>
  <c r="S307" i="6"/>
  <c r="T326" i="6"/>
  <c r="S326" i="6"/>
  <c r="R326" i="6"/>
  <c r="T329" i="6"/>
  <c r="R329" i="6"/>
  <c r="T332" i="6"/>
  <c r="S332" i="6"/>
  <c r="T335" i="6"/>
  <c r="S335" i="6"/>
  <c r="T339" i="6"/>
  <c r="S339" i="6"/>
  <c r="T345" i="6"/>
  <c r="R345" i="6"/>
  <c r="T349" i="6"/>
  <c r="S349" i="6"/>
  <c r="R349" i="6"/>
  <c r="T358" i="6"/>
  <c r="S358" i="6"/>
  <c r="R358" i="6"/>
  <c r="T361" i="6"/>
  <c r="R361" i="6"/>
  <c r="T364" i="6"/>
  <c r="S364" i="6"/>
  <c r="T367" i="6"/>
  <c r="S367" i="6"/>
  <c r="T371" i="6"/>
  <c r="S371" i="6"/>
  <c r="T377" i="6"/>
  <c r="R377" i="6"/>
  <c r="T380" i="6"/>
  <c r="S380" i="6"/>
  <c r="T383" i="6"/>
  <c r="S383" i="6"/>
  <c r="T389" i="6"/>
  <c r="S389" i="6"/>
  <c r="R389" i="6"/>
  <c r="T392" i="6"/>
  <c r="S392" i="6"/>
  <c r="T395" i="6"/>
  <c r="S395" i="6"/>
  <c r="T399" i="6"/>
  <c r="S399" i="6"/>
  <c r="T405" i="6"/>
  <c r="S405" i="6"/>
  <c r="R405" i="6"/>
  <c r="T408" i="6"/>
  <c r="S408" i="6"/>
  <c r="T413" i="6"/>
  <c r="S413" i="6"/>
  <c r="R413" i="6"/>
  <c r="T416" i="6"/>
  <c r="S416" i="6"/>
  <c r="T419" i="6"/>
  <c r="S419" i="6"/>
  <c r="T423" i="6"/>
  <c r="S423" i="6"/>
  <c r="T436" i="6"/>
  <c r="S436" i="6"/>
  <c r="T439" i="6"/>
  <c r="S439" i="6"/>
  <c r="T442" i="6"/>
  <c r="R442" i="6"/>
  <c r="S442" i="6"/>
  <c r="T444" i="6"/>
  <c r="S444" i="6"/>
  <c r="T447" i="6"/>
  <c r="S447" i="6"/>
  <c r="T454" i="6"/>
  <c r="S454" i="6"/>
  <c r="R454" i="6"/>
  <c r="T457" i="6"/>
  <c r="R457" i="6"/>
  <c r="T461" i="6"/>
  <c r="S461" i="6"/>
  <c r="R461" i="6"/>
  <c r="T464" i="6"/>
  <c r="S464" i="6"/>
  <c r="T467" i="6"/>
  <c r="S467" i="6"/>
  <c r="T471" i="6"/>
  <c r="S471" i="6"/>
  <c r="T477" i="6"/>
  <c r="S477" i="6"/>
  <c r="R477" i="6"/>
  <c r="T481" i="6"/>
  <c r="R481" i="6"/>
  <c r="T484" i="6"/>
  <c r="S484" i="6"/>
  <c r="T487" i="6"/>
  <c r="S487" i="6"/>
  <c r="T494" i="6"/>
  <c r="S494" i="6"/>
  <c r="R494" i="6"/>
  <c r="T498" i="6"/>
  <c r="R498" i="6"/>
  <c r="S498" i="6"/>
  <c r="T500" i="6"/>
  <c r="S500" i="6"/>
  <c r="T503" i="6"/>
  <c r="S503" i="6"/>
  <c r="T506" i="6"/>
  <c r="R506" i="6"/>
  <c r="S506" i="6"/>
  <c r="T508" i="6"/>
  <c r="S508" i="6"/>
  <c r="T511" i="6"/>
  <c r="S511" i="6"/>
  <c r="T514" i="6"/>
  <c r="R514" i="6"/>
  <c r="S514" i="6"/>
  <c r="T516" i="6"/>
  <c r="S516" i="6"/>
  <c r="T519" i="6"/>
  <c r="S519" i="6"/>
  <c r="T522" i="6"/>
  <c r="R522" i="6"/>
  <c r="S522" i="6"/>
  <c r="T525" i="6"/>
  <c r="S525" i="6"/>
  <c r="R525" i="6"/>
  <c r="T528" i="6"/>
  <c r="S528" i="6"/>
  <c r="T531" i="6"/>
  <c r="S531" i="6"/>
  <c r="T534" i="6"/>
  <c r="S534" i="6"/>
  <c r="R534" i="6"/>
  <c r="T536" i="6"/>
  <c r="S536" i="6"/>
  <c r="T539" i="6"/>
  <c r="S539" i="6"/>
  <c r="T542" i="6"/>
  <c r="S542" i="6"/>
  <c r="R542" i="6"/>
  <c r="T545" i="6"/>
  <c r="R545" i="6"/>
  <c r="T548" i="6"/>
  <c r="S548" i="6"/>
  <c r="T551" i="6"/>
  <c r="S551" i="6"/>
  <c r="T554" i="6"/>
  <c r="R554" i="6"/>
  <c r="S554" i="6"/>
  <c r="T556" i="6"/>
  <c r="S556" i="6"/>
  <c r="T559" i="6"/>
  <c r="S559" i="6"/>
  <c r="T563" i="6"/>
  <c r="S563" i="6"/>
  <c r="T569" i="6"/>
  <c r="R569" i="6"/>
  <c r="T572" i="6"/>
  <c r="S572" i="6"/>
  <c r="T575" i="6"/>
  <c r="S575" i="6"/>
  <c r="T579" i="6"/>
  <c r="S579" i="6"/>
  <c r="T585" i="6"/>
  <c r="R585" i="6"/>
  <c r="T589" i="6"/>
  <c r="S589" i="6"/>
  <c r="R589" i="6"/>
  <c r="T592" i="6"/>
  <c r="S592" i="6"/>
  <c r="T595" i="6"/>
  <c r="S595" i="6"/>
  <c r="T602" i="6"/>
  <c r="R602" i="6"/>
  <c r="S602" i="6"/>
  <c r="T606" i="6"/>
  <c r="S606" i="6"/>
  <c r="R606" i="6"/>
  <c r="T609" i="6"/>
  <c r="R609" i="6"/>
  <c r="T612" i="6"/>
  <c r="S612" i="6"/>
  <c r="T616" i="6"/>
  <c r="S616" i="6"/>
  <c r="T620" i="6"/>
  <c r="S620" i="6"/>
  <c r="T624" i="6"/>
  <c r="S624" i="6"/>
  <c r="T627" i="6"/>
  <c r="S627" i="6"/>
  <c r="T631" i="6"/>
  <c r="S631" i="6"/>
  <c r="T635" i="6"/>
  <c r="S635" i="6"/>
  <c r="T639" i="6"/>
  <c r="S639" i="6"/>
  <c r="T642" i="6"/>
  <c r="R642" i="6"/>
  <c r="S642" i="6"/>
  <c r="T645" i="6"/>
  <c r="S645" i="6"/>
  <c r="R645" i="6"/>
  <c r="T649" i="6"/>
  <c r="R649" i="6"/>
  <c r="T698" i="6"/>
  <c r="R698" i="6"/>
  <c r="S698" i="6"/>
  <c r="T701" i="6"/>
  <c r="S701" i="6"/>
  <c r="R701" i="6"/>
  <c r="T714" i="6"/>
  <c r="R714" i="6"/>
  <c r="S714" i="6"/>
  <c r="T717" i="6"/>
  <c r="S717" i="6"/>
  <c r="R717" i="6"/>
  <c r="T721" i="6"/>
  <c r="R721" i="6"/>
  <c r="T725" i="6"/>
  <c r="S725" i="6"/>
  <c r="R725" i="6"/>
  <c r="T729" i="6"/>
  <c r="R729" i="6"/>
  <c r="T733" i="6"/>
  <c r="S733" i="6"/>
  <c r="R733" i="6"/>
  <c r="T737" i="6"/>
  <c r="R737" i="6"/>
  <c r="T741" i="6"/>
  <c r="S741" i="6"/>
  <c r="R741" i="6"/>
  <c r="T745" i="6"/>
  <c r="R745" i="6"/>
  <c r="T749" i="6"/>
  <c r="S749" i="6"/>
  <c r="R749" i="6"/>
  <c r="T752" i="6"/>
  <c r="S752" i="6"/>
  <c r="T755" i="6"/>
  <c r="S755" i="6"/>
  <c r="T758" i="6"/>
  <c r="S758" i="6"/>
  <c r="R758" i="6"/>
  <c r="T762" i="6"/>
  <c r="R762" i="6"/>
  <c r="S762" i="6"/>
  <c r="T765" i="6"/>
  <c r="S765" i="6"/>
  <c r="R765" i="6"/>
  <c r="T768" i="6"/>
  <c r="S768" i="6"/>
  <c r="T775" i="6"/>
  <c r="S775" i="6"/>
  <c r="T779" i="6"/>
  <c r="S779" i="6"/>
  <c r="T782" i="6"/>
  <c r="S782" i="6"/>
  <c r="R782" i="6"/>
  <c r="T785" i="6"/>
  <c r="R785" i="6"/>
  <c r="T788" i="6"/>
  <c r="S788" i="6"/>
  <c r="T792" i="6"/>
  <c r="S792" i="6"/>
  <c r="T802" i="6"/>
  <c r="R802" i="6"/>
  <c r="S802" i="6"/>
  <c r="T806" i="6"/>
  <c r="S806" i="6"/>
  <c r="R806" i="6"/>
  <c r="T809" i="6"/>
  <c r="R809" i="6"/>
  <c r="T812" i="6"/>
  <c r="S812" i="6"/>
  <c r="T819" i="6"/>
  <c r="S819" i="6"/>
  <c r="T823" i="6"/>
  <c r="S823" i="6"/>
  <c r="T826" i="6"/>
  <c r="R826" i="6"/>
  <c r="S826" i="6"/>
  <c r="T829" i="6"/>
  <c r="S829" i="6"/>
  <c r="R829" i="6"/>
  <c r="T832" i="6"/>
  <c r="S832" i="6"/>
  <c r="T836" i="6"/>
  <c r="S836" i="6"/>
  <c r="T853" i="6"/>
  <c r="S853" i="6"/>
  <c r="R853" i="6"/>
  <c r="T856" i="6"/>
  <c r="S856" i="6"/>
  <c r="T860" i="6"/>
  <c r="S860" i="6"/>
  <c r="T863" i="6"/>
  <c r="S863" i="6"/>
  <c r="T866" i="6"/>
  <c r="R866" i="6"/>
  <c r="S866" i="6"/>
  <c r="T873" i="6"/>
  <c r="R873" i="6"/>
  <c r="T877" i="6"/>
  <c r="S877" i="6"/>
  <c r="R877" i="6"/>
  <c r="T880" i="6"/>
  <c r="S880" i="6"/>
  <c r="T883" i="6"/>
  <c r="S883" i="6"/>
  <c r="T886" i="6"/>
  <c r="S886" i="6"/>
  <c r="R886" i="6"/>
  <c r="T890" i="6"/>
  <c r="R890" i="6"/>
  <c r="S890" i="6"/>
  <c r="T956" i="6"/>
  <c r="S956" i="6"/>
  <c r="T959" i="6"/>
  <c r="S959" i="6"/>
  <c r="T962" i="6"/>
  <c r="R962" i="6"/>
  <c r="S962" i="6"/>
  <c r="T966" i="6"/>
  <c r="R966" i="6"/>
  <c r="S966" i="6"/>
  <c r="T972" i="6"/>
  <c r="S972" i="6"/>
  <c r="T976" i="6"/>
  <c r="S976" i="6"/>
  <c r="T984" i="6"/>
  <c r="S984" i="6"/>
  <c r="T992" i="6"/>
  <c r="S992" i="6"/>
  <c r="T995" i="6"/>
  <c r="S995" i="6"/>
  <c r="T1005" i="6"/>
  <c r="R1005" i="6"/>
  <c r="T1008" i="6"/>
  <c r="S1008" i="6"/>
  <c r="T1010" i="6"/>
  <c r="R1010" i="6"/>
  <c r="S1010" i="6"/>
  <c r="T1013" i="6"/>
  <c r="R1013" i="6"/>
  <c r="T1020" i="6"/>
  <c r="S1020" i="6"/>
  <c r="T1023" i="6"/>
  <c r="S1023" i="6"/>
  <c r="T1026" i="6"/>
  <c r="R1026" i="6"/>
  <c r="S1026" i="6"/>
  <c r="T1032" i="6"/>
  <c r="S1032" i="6"/>
  <c r="T1035" i="6"/>
  <c r="S1035" i="6"/>
  <c r="R1038" i="6"/>
  <c r="T1038" i="6"/>
  <c r="S1038" i="6"/>
  <c r="T1044" i="6"/>
  <c r="S1044" i="6"/>
  <c r="T1052" i="6"/>
  <c r="S1052" i="6"/>
  <c r="T1055" i="6"/>
  <c r="S1055" i="6"/>
  <c r="T1060" i="6"/>
  <c r="S1060" i="6"/>
  <c r="T1063" i="6"/>
  <c r="S1063" i="6"/>
  <c r="T1071" i="6"/>
  <c r="S1071" i="6"/>
  <c r="T1074" i="6"/>
  <c r="R1074" i="6"/>
  <c r="S1074" i="6"/>
  <c r="T1079" i="6"/>
  <c r="S1079" i="6"/>
  <c r="T1082" i="6"/>
  <c r="R1082" i="6"/>
  <c r="S1082" i="6"/>
  <c r="T1100" i="6"/>
  <c r="S1100" i="6"/>
  <c r="R1102" i="6"/>
  <c r="T1102" i="6"/>
  <c r="S1102" i="6"/>
  <c r="T1107" i="6"/>
  <c r="S1107" i="6"/>
  <c r="R1110" i="6"/>
  <c r="T1110" i="6"/>
  <c r="S1110" i="6"/>
  <c r="R1113" i="6"/>
  <c r="R1097" i="6"/>
  <c r="R1071" i="6"/>
  <c r="R1060" i="6"/>
  <c r="R1055" i="6"/>
  <c r="R1044" i="6"/>
  <c r="R1023" i="6"/>
  <c r="R1000" i="6"/>
  <c r="R992" i="6"/>
  <c r="R984" i="6"/>
  <c r="R976" i="6"/>
  <c r="R956" i="6"/>
  <c r="R951" i="6"/>
  <c r="R936" i="6"/>
  <c r="R928" i="6"/>
  <c r="R920" i="6"/>
  <c r="R912" i="6"/>
  <c r="R904" i="6"/>
  <c r="R883" i="6"/>
  <c r="R863" i="6"/>
  <c r="R855" i="6"/>
  <c r="R819" i="6"/>
  <c r="R812" i="6"/>
  <c r="R804" i="6"/>
  <c r="R775" i="6"/>
  <c r="R768" i="6"/>
  <c r="R760" i="6"/>
  <c r="R755" i="6"/>
  <c r="R747" i="6"/>
  <c r="R739" i="6"/>
  <c r="R731" i="6"/>
  <c r="R723" i="6"/>
  <c r="R700" i="6"/>
  <c r="R692" i="6"/>
  <c r="R684" i="6"/>
  <c r="R659" i="6"/>
  <c r="R647" i="6"/>
  <c r="R639" i="6"/>
  <c r="R631" i="6"/>
  <c r="R612" i="6"/>
  <c r="R604" i="6"/>
  <c r="R583" i="6"/>
  <c r="R575" i="6"/>
  <c r="R567" i="6"/>
  <c r="R559" i="6"/>
  <c r="R552" i="6"/>
  <c r="R536" i="6"/>
  <c r="R528" i="6"/>
  <c r="R520" i="6"/>
  <c r="R512" i="6"/>
  <c r="R504" i="6"/>
  <c r="R496" i="6"/>
  <c r="R472" i="6"/>
  <c r="R464" i="6"/>
  <c r="R440" i="6"/>
  <c r="R416" i="6"/>
  <c r="R408" i="6"/>
  <c r="R400" i="6"/>
  <c r="R392" i="6"/>
  <c r="R296" i="6"/>
  <c r="R288" i="6"/>
  <c r="R280" i="6"/>
  <c r="R272" i="6"/>
  <c r="R264" i="6"/>
  <c r="R256" i="6"/>
  <c r="R248" i="6"/>
  <c r="R240" i="6"/>
  <c r="R232" i="6"/>
  <c r="R224" i="6"/>
  <c r="R216" i="6"/>
  <c r="R208" i="6"/>
  <c r="R200" i="6"/>
  <c r="R192" i="6"/>
  <c r="R184" i="6"/>
  <c r="R176" i="6"/>
  <c r="R168" i="6"/>
  <c r="R160" i="6"/>
  <c r="R128" i="6"/>
  <c r="R120" i="6"/>
  <c r="R104" i="6"/>
  <c r="R96" i="6"/>
  <c r="R88" i="6"/>
  <c r="R80" i="6"/>
  <c r="R72" i="6"/>
  <c r="R64" i="6"/>
  <c r="R40" i="6"/>
  <c r="R24" i="6"/>
  <c r="S1113" i="6"/>
  <c r="S1097" i="6"/>
  <c r="S769" i="6"/>
  <c r="S737" i="6"/>
  <c r="S673" i="6"/>
  <c r="S609" i="6"/>
  <c r="S577" i="6"/>
  <c r="S545" i="6"/>
  <c r="S481" i="6"/>
  <c r="S449" i="6"/>
  <c r="S417" i="6"/>
  <c r="S321" i="6"/>
  <c r="S161" i="6"/>
  <c r="T1109" i="6"/>
  <c r="T1077" i="6"/>
  <c r="T1045" i="6"/>
  <c r="T11" i="6"/>
  <c r="S11" i="6"/>
  <c r="R11" i="6"/>
  <c r="T21" i="6"/>
  <c r="S21" i="6"/>
  <c r="R21" i="6"/>
  <c r="T27" i="6"/>
  <c r="S27" i="6"/>
  <c r="R27" i="6"/>
  <c r="T34" i="6"/>
  <c r="R34" i="6"/>
  <c r="S34" i="6"/>
  <c r="T37" i="6"/>
  <c r="S37" i="6"/>
  <c r="R37" i="6"/>
  <c r="T43" i="6"/>
  <c r="S43" i="6"/>
  <c r="R43" i="6"/>
  <c r="T50" i="6"/>
  <c r="R50" i="6"/>
  <c r="S50" i="6"/>
  <c r="T56" i="6"/>
  <c r="S56" i="6"/>
  <c r="T75" i="6"/>
  <c r="S75" i="6"/>
  <c r="T173" i="6"/>
  <c r="S173" i="6"/>
  <c r="R173" i="6"/>
  <c r="T1016" i="6"/>
  <c r="S1016" i="6"/>
  <c r="T14" i="6"/>
  <c r="S14" i="6"/>
  <c r="R14" i="6"/>
  <c r="T17" i="6"/>
  <c r="R17" i="6"/>
  <c r="T20" i="6"/>
  <c r="S20" i="6"/>
  <c r="T30" i="6"/>
  <c r="S30" i="6"/>
  <c r="R30" i="6"/>
  <c r="T33" i="6"/>
  <c r="R33" i="6"/>
  <c r="T36" i="6"/>
  <c r="S36" i="6"/>
  <c r="T46" i="6"/>
  <c r="S46" i="6"/>
  <c r="R46" i="6"/>
  <c r="T49" i="6"/>
  <c r="R49" i="6"/>
  <c r="T52" i="6"/>
  <c r="S52" i="6"/>
  <c r="T62" i="6"/>
  <c r="S62" i="6"/>
  <c r="R62" i="6"/>
  <c r="T65" i="6"/>
  <c r="R65" i="6"/>
  <c r="T68" i="6"/>
  <c r="S68" i="6"/>
  <c r="T78" i="6"/>
  <c r="S78" i="6"/>
  <c r="R78" i="6"/>
  <c r="T81" i="6"/>
  <c r="R81" i="6"/>
  <c r="T84" i="6"/>
  <c r="S84" i="6"/>
  <c r="T94" i="6"/>
  <c r="S94" i="6"/>
  <c r="R94" i="6"/>
  <c r="T97" i="6"/>
  <c r="R97" i="6"/>
  <c r="T100" i="6"/>
  <c r="S100" i="6"/>
  <c r="T110" i="6"/>
  <c r="S110" i="6"/>
  <c r="R110" i="6"/>
  <c r="T118" i="6"/>
  <c r="S118" i="6"/>
  <c r="R118" i="6"/>
  <c r="T121" i="6"/>
  <c r="R121" i="6"/>
  <c r="T129" i="6"/>
  <c r="R129" i="6"/>
  <c r="T138" i="6"/>
  <c r="R138" i="6"/>
  <c r="S138" i="6"/>
  <c r="T141" i="6"/>
  <c r="S141" i="6"/>
  <c r="R141" i="6"/>
  <c r="T144" i="6"/>
  <c r="S144" i="6"/>
  <c r="T154" i="6"/>
  <c r="R154" i="6"/>
  <c r="S154" i="6"/>
  <c r="T157" i="6"/>
  <c r="S157" i="6"/>
  <c r="R157" i="6"/>
  <c r="T166" i="6"/>
  <c r="S166" i="6"/>
  <c r="R166" i="6"/>
  <c r="T169" i="6"/>
  <c r="R169" i="6"/>
  <c r="T172" i="6"/>
  <c r="S172" i="6"/>
  <c r="T181" i="6"/>
  <c r="S181" i="6"/>
  <c r="R181" i="6"/>
  <c r="T190" i="6"/>
  <c r="S190" i="6"/>
  <c r="R190" i="6"/>
  <c r="T193" i="6"/>
  <c r="R193" i="6"/>
  <c r="T196" i="6"/>
  <c r="S196" i="6"/>
  <c r="T206" i="6"/>
  <c r="S206" i="6"/>
  <c r="R206" i="6"/>
  <c r="T209" i="6"/>
  <c r="R209" i="6"/>
  <c r="T212" i="6"/>
  <c r="S212" i="6"/>
  <c r="T222" i="6"/>
  <c r="S222" i="6"/>
  <c r="R222" i="6"/>
  <c r="T225" i="6"/>
  <c r="R225" i="6"/>
  <c r="T228" i="6"/>
  <c r="S228" i="6"/>
  <c r="T238" i="6"/>
  <c r="S238" i="6"/>
  <c r="R238" i="6"/>
  <c r="T241" i="6"/>
  <c r="R241" i="6"/>
  <c r="T244" i="6"/>
  <c r="S244" i="6"/>
  <c r="T254" i="6"/>
  <c r="S254" i="6"/>
  <c r="R254" i="6"/>
  <c r="T257" i="6"/>
  <c r="R257" i="6"/>
  <c r="T260" i="6"/>
  <c r="S260" i="6"/>
  <c r="T270" i="6"/>
  <c r="S270" i="6"/>
  <c r="R270" i="6"/>
  <c r="T273" i="6"/>
  <c r="R273" i="6"/>
  <c r="T278" i="6"/>
  <c r="S278" i="6"/>
  <c r="R278" i="6"/>
  <c r="T281" i="6"/>
  <c r="R281" i="6"/>
  <c r="T289" i="6"/>
  <c r="R289" i="6"/>
  <c r="T297" i="6"/>
  <c r="R297" i="6"/>
  <c r="T306" i="6"/>
  <c r="R306" i="6"/>
  <c r="S306" i="6"/>
  <c r="T310" i="6"/>
  <c r="S310" i="6"/>
  <c r="R310" i="6"/>
  <c r="T319" i="6"/>
  <c r="S319" i="6"/>
  <c r="T338" i="6"/>
  <c r="R338" i="6"/>
  <c r="S338" i="6"/>
  <c r="T341" i="6"/>
  <c r="S341" i="6"/>
  <c r="R341" i="6"/>
  <c r="T344" i="6"/>
  <c r="S344" i="6"/>
  <c r="T348" i="6"/>
  <c r="S348" i="6"/>
  <c r="T351" i="6"/>
  <c r="S351" i="6"/>
  <c r="T354" i="6"/>
  <c r="R354" i="6"/>
  <c r="S354" i="6"/>
  <c r="T357" i="6"/>
  <c r="S357" i="6"/>
  <c r="R357" i="6"/>
  <c r="T370" i="6"/>
  <c r="R370" i="6"/>
  <c r="S370" i="6"/>
  <c r="T373" i="6"/>
  <c r="S373" i="6"/>
  <c r="R373" i="6"/>
  <c r="T376" i="6"/>
  <c r="S376" i="6"/>
  <c r="T386" i="6"/>
  <c r="R386" i="6"/>
  <c r="S386" i="6"/>
  <c r="T388" i="6"/>
  <c r="S388" i="6"/>
  <c r="T391" i="6"/>
  <c r="S391" i="6"/>
  <c r="T398" i="6"/>
  <c r="S398" i="6"/>
  <c r="R398" i="6"/>
  <c r="T401" i="6"/>
  <c r="R401" i="6"/>
  <c r="T404" i="6"/>
  <c r="S404" i="6"/>
  <c r="T410" i="6"/>
  <c r="R410" i="6"/>
  <c r="S410" i="6"/>
  <c r="T412" i="6"/>
  <c r="S412" i="6"/>
  <c r="T415" i="6"/>
  <c r="S415" i="6"/>
  <c r="T422" i="6"/>
  <c r="S422" i="6"/>
  <c r="R422" i="6"/>
  <c r="T426" i="6"/>
  <c r="R426" i="6"/>
  <c r="S426" i="6"/>
  <c r="T435" i="6"/>
  <c r="S435" i="6"/>
  <c r="T460" i="6"/>
  <c r="S460" i="6"/>
  <c r="T463" i="6"/>
  <c r="S463" i="6"/>
  <c r="T470" i="6"/>
  <c r="S470" i="6"/>
  <c r="R470" i="6"/>
  <c r="T473" i="6"/>
  <c r="R473" i="6"/>
  <c r="T476" i="6"/>
  <c r="S476" i="6"/>
  <c r="T480" i="6"/>
  <c r="S480" i="6"/>
  <c r="T483" i="6"/>
  <c r="S483" i="6"/>
  <c r="T490" i="6"/>
  <c r="R490" i="6"/>
  <c r="S490" i="6"/>
  <c r="T493" i="6"/>
  <c r="S493" i="6"/>
  <c r="R493" i="6"/>
  <c r="T497" i="6"/>
  <c r="R497" i="6"/>
  <c r="T505" i="6"/>
  <c r="R505" i="6"/>
  <c r="T513" i="6"/>
  <c r="R513" i="6"/>
  <c r="T521" i="6"/>
  <c r="R521" i="6"/>
  <c r="T524" i="6"/>
  <c r="S524" i="6"/>
  <c r="T533" i="6"/>
  <c r="S533" i="6"/>
  <c r="R533" i="6"/>
  <c r="T541" i="6"/>
  <c r="S541" i="6"/>
  <c r="R541" i="6"/>
  <c r="T544" i="6"/>
  <c r="S544" i="6"/>
  <c r="T553" i="6"/>
  <c r="R553" i="6"/>
  <c r="T562" i="6"/>
  <c r="R562" i="6"/>
  <c r="S562" i="6"/>
  <c r="T565" i="6"/>
  <c r="S565" i="6"/>
  <c r="R565" i="6"/>
  <c r="T568" i="6"/>
  <c r="S568" i="6"/>
  <c r="T578" i="6"/>
  <c r="R578" i="6"/>
  <c r="S578" i="6"/>
  <c r="T581" i="6"/>
  <c r="S581" i="6"/>
  <c r="R581" i="6"/>
  <c r="T584" i="6"/>
  <c r="S584" i="6"/>
  <c r="T588" i="6"/>
  <c r="S588" i="6"/>
  <c r="T591" i="6"/>
  <c r="S591" i="6"/>
  <c r="T598" i="6"/>
  <c r="S598" i="6"/>
  <c r="R598" i="6"/>
  <c r="T601" i="6"/>
  <c r="R601" i="6"/>
  <c r="T605" i="6"/>
  <c r="S605" i="6"/>
  <c r="R605" i="6"/>
  <c r="T608" i="6"/>
  <c r="S608" i="6"/>
  <c r="T611" i="6"/>
  <c r="S611" i="6"/>
  <c r="T615" i="6"/>
  <c r="S615" i="6"/>
  <c r="T619" i="6"/>
  <c r="S619" i="6"/>
  <c r="T623" i="6"/>
  <c r="S623" i="6"/>
  <c r="T626" i="6"/>
  <c r="R626" i="6"/>
  <c r="S626" i="6"/>
  <c r="T630" i="6"/>
  <c r="S630" i="6"/>
  <c r="R630" i="6"/>
  <c r="T634" i="6"/>
  <c r="R634" i="6"/>
  <c r="S634" i="6"/>
  <c r="T638" i="6"/>
  <c r="S638" i="6"/>
  <c r="R638" i="6"/>
  <c r="T648" i="6"/>
  <c r="S648" i="6"/>
  <c r="T652" i="6"/>
  <c r="S652" i="6"/>
  <c r="T656" i="6"/>
  <c r="S656" i="6"/>
  <c r="T660" i="6"/>
  <c r="S660" i="6"/>
  <c r="T664" i="6"/>
  <c r="S664" i="6"/>
  <c r="T668" i="6"/>
  <c r="S668" i="6"/>
  <c r="T672" i="6"/>
  <c r="S672" i="6"/>
  <c r="T675" i="6"/>
  <c r="S675" i="6"/>
  <c r="T678" i="6"/>
  <c r="S678" i="6"/>
  <c r="R678" i="6"/>
  <c r="T681" i="6"/>
  <c r="R681" i="6"/>
  <c r="T685" i="6"/>
  <c r="S685" i="6"/>
  <c r="R685" i="6"/>
  <c r="T689" i="6"/>
  <c r="R689" i="6"/>
  <c r="T693" i="6"/>
  <c r="S693" i="6"/>
  <c r="R693" i="6"/>
  <c r="T697" i="6"/>
  <c r="R697" i="6"/>
  <c r="T761" i="6"/>
  <c r="R761" i="6"/>
  <c r="T764" i="6"/>
  <c r="S764" i="6"/>
  <c r="T771" i="6"/>
  <c r="S771" i="6"/>
  <c r="T774" i="6"/>
  <c r="S774" i="6"/>
  <c r="R774" i="6"/>
  <c r="T778" i="6"/>
  <c r="R778" i="6"/>
  <c r="S778" i="6"/>
  <c r="T781" i="6"/>
  <c r="S781" i="6"/>
  <c r="R781" i="6"/>
  <c r="T791" i="6"/>
  <c r="S791" i="6"/>
  <c r="T795" i="6"/>
  <c r="S795" i="6"/>
  <c r="T798" i="6"/>
  <c r="S798" i="6"/>
  <c r="R798" i="6"/>
  <c r="T801" i="6"/>
  <c r="R801" i="6"/>
  <c r="T805" i="6"/>
  <c r="S805" i="6"/>
  <c r="R805" i="6"/>
  <c r="T808" i="6"/>
  <c r="S808" i="6"/>
  <c r="T815" i="6"/>
  <c r="S815" i="6"/>
  <c r="T818" i="6"/>
  <c r="R818" i="6"/>
  <c r="S818" i="6"/>
  <c r="T822" i="6"/>
  <c r="S822" i="6"/>
  <c r="R822" i="6"/>
  <c r="T825" i="6"/>
  <c r="R825" i="6"/>
  <c r="T835" i="6"/>
  <c r="S835" i="6"/>
  <c r="T839" i="6"/>
  <c r="S839" i="6"/>
  <c r="T842" i="6"/>
  <c r="R842" i="6"/>
  <c r="S842" i="6"/>
  <c r="T845" i="6"/>
  <c r="S845" i="6"/>
  <c r="R845" i="6"/>
  <c r="T852" i="6"/>
  <c r="S852" i="6"/>
  <c r="T859" i="6"/>
  <c r="S859" i="6"/>
  <c r="T862" i="6"/>
  <c r="S862" i="6"/>
  <c r="R862" i="6"/>
  <c r="T869" i="6"/>
  <c r="S869" i="6"/>
  <c r="R869" i="6"/>
  <c r="T872" i="6"/>
  <c r="S872" i="6"/>
  <c r="T876" i="6"/>
  <c r="S876" i="6"/>
  <c r="T879" i="6"/>
  <c r="S879" i="6"/>
  <c r="T889" i="6"/>
  <c r="R889" i="6"/>
  <c r="T893" i="6"/>
  <c r="S893" i="6"/>
  <c r="R893" i="6"/>
  <c r="T896" i="6"/>
  <c r="S896" i="6"/>
  <c r="T899" i="6"/>
  <c r="S899" i="6"/>
  <c r="T905" i="6"/>
  <c r="R905" i="6"/>
  <c r="T913" i="6"/>
  <c r="R913" i="6"/>
  <c r="T921" i="6"/>
  <c r="R921" i="6"/>
  <c r="T929" i="6"/>
  <c r="R929" i="6"/>
  <c r="T937" i="6"/>
  <c r="R937" i="6"/>
  <c r="T940" i="6"/>
  <c r="S940" i="6"/>
  <c r="T943" i="6"/>
  <c r="S943" i="6"/>
  <c r="T949" i="6"/>
  <c r="R949" i="6"/>
  <c r="T952" i="6"/>
  <c r="S952" i="6"/>
  <c r="T955" i="6"/>
  <c r="S955" i="6"/>
  <c r="T965" i="6"/>
  <c r="R965" i="6"/>
  <c r="T968" i="6"/>
  <c r="S968" i="6"/>
  <c r="T971" i="6"/>
  <c r="S971" i="6"/>
  <c r="T975" i="6"/>
  <c r="S975" i="6"/>
  <c r="T978" i="6"/>
  <c r="R978" i="6"/>
  <c r="S978" i="6"/>
  <c r="T981" i="6"/>
  <c r="R981" i="6"/>
  <c r="T983" i="6"/>
  <c r="S983" i="6"/>
  <c r="T986" i="6"/>
  <c r="R986" i="6"/>
  <c r="S986" i="6"/>
  <c r="T989" i="6"/>
  <c r="R989" i="6"/>
  <c r="T991" i="6"/>
  <c r="S991" i="6"/>
  <c r="T998" i="6"/>
  <c r="R998" i="6"/>
  <c r="S998" i="6"/>
  <c r="T1019" i="6"/>
  <c r="S1019" i="6"/>
  <c r="T1022" i="6"/>
  <c r="R1022" i="6"/>
  <c r="S1022" i="6"/>
  <c r="T1031" i="6"/>
  <c r="S1031" i="6"/>
  <c r="T1034" i="6"/>
  <c r="R1034" i="6"/>
  <c r="S1034" i="6"/>
  <c r="T1043" i="6"/>
  <c r="S1043" i="6"/>
  <c r="R1046" i="6"/>
  <c r="T1046" i="6"/>
  <c r="S1046" i="6"/>
  <c r="T1051" i="6"/>
  <c r="S1051" i="6"/>
  <c r="R1054" i="6"/>
  <c r="T1054" i="6"/>
  <c r="S1054" i="6"/>
  <c r="T1059" i="6"/>
  <c r="S1059" i="6"/>
  <c r="R1070" i="6"/>
  <c r="T1070" i="6"/>
  <c r="S1070" i="6"/>
  <c r="T1084" i="6"/>
  <c r="S1084" i="6"/>
  <c r="R1094" i="6"/>
  <c r="T1094" i="6"/>
  <c r="S1094" i="6"/>
  <c r="R6" i="6"/>
  <c r="R1104" i="6"/>
  <c r="R1088" i="6"/>
  <c r="R1083" i="6"/>
  <c r="R1072" i="6"/>
  <c r="R1056" i="6"/>
  <c r="R1051" i="6"/>
  <c r="R1035" i="6"/>
  <c r="R1024" i="6"/>
  <c r="R1016" i="6"/>
  <c r="R1008" i="6"/>
  <c r="R995" i="6"/>
  <c r="R971" i="6"/>
  <c r="R964" i="6"/>
  <c r="R959" i="6"/>
  <c r="R952" i="6"/>
  <c r="R939" i="6"/>
  <c r="R899" i="6"/>
  <c r="R892" i="6"/>
  <c r="R879" i="6"/>
  <c r="R864" i="6"/>
  <c r="R856" i="6"/>
  <c r="R835" i="6"/>
  <c r="R820" i="6"/>
  <c r="R815" i="6"/>
  <c r="R807" i="6"/>
  <c r="R791" i="6"/>
  <c r="R776" i="6"/>
  <c r="R771" i="6"/>
  <c r="R763" i="6"/>
  <c r="R756" i="6"/>
  <c r="R716" i="6"/>
  <c r="R703" i="6"/>
  <c r="R695" i="6"/>
  <c r="R687" i="6"/>
  <c r="R679" i="6"/>
  <c r="R671" i="6"/>
  <c r="R660" i="6"/>
  <c r="R655" i="6"/>
  <c r="R648" i="6"/>
  <c r="R624" i="6"/>
  <c r="R619" i="6"/>
  <c r="R607" i="6"/>
  <c r="R592" i="6"/>
  <c r="R584" i="6"/>
  <c r="R576" i="6"/>
  <c r="R568" i="6"/>
  <c r="R555" i="6"/>
  <c r="R539" i="6"/>
  <c r="R531" i="6"/>
  <c r="R523" i="6"/>
  <c r="R515" i="6"/>
  <c r="R507" i="6"/>
  <c r="R499" i="6"/>
  <c r="R483" i="6"/>
  <c r="R475" i="6"/>
  <c r="R467" i="6"/>
  <c r="R459" i="6"/>
  <c r="R443" i="6"/>
  <c r="R435" i="6"/>
  <c r="R427" i="6"/>
  <c r="R419" i="6"/>
  <c r="R403" i="6"/>
  <c r="R395" i="6"/>
  <c r="R379" i="6"/>
  <c r="R371" i="6"/>
  <c r="R347" i="6"/>
  <c r="R339" i="6"/>
  <c r="R331" i="6"/>
  <c r="R307" i="6"/>
  <c r="R299" i="6"/>
  <c r="R291" i="6"/>
  <c r="R283" i="6"/>
  <c r="R267" i="6"/>
  <c r="R259" i="6"/>
  <c r="R251" i="6"/>
  <c r="R243" i="6"/>
  <c r="R235" i="6"/>
  <c r="R227" i="6"/>
  <c r="R219" i="6"/>
  <c r="R211" i="6"/>
  <c r="R203" i="6"/>
  <c r="R195" i="6"/>
  <c r="R187" i="6"/>
  <c r="R179" i="6"/>
  <c r="R171" i="6"/>
  <c r="R163" i="6"/>
  <c r="R131" i="6"/>
  <c r="R123" i="6"/>
  <c r="R107" i="6"/>
  <c r="R99" i="6"/>
  <c r="R91" i="6"/>
  <c r="R83" i="6"/>
  <c r="R75" i="6"/>
  <c r="R67" i="6"/>
  <c r="R59" i="6"/>
  <c r="R44" i="6"/>
  <c r="R28" i="6"/>
  <c r="R12" i="6"/>
  <c r="S1085" i="6"/>
  <c r="S1053" i="6"/>
  <c r="S1021" i="6"/>
  <c r="S1005" i="6"/>
  <c r="S989" i="6"/>
  <c r="S973" i="6"/>
  <c r="S957" i="6"/>
  <c r="S937" i="6"/>
  <c r="S905" i="6"/>
  <c r="S873" i="6"/>
  <c r="S841" i="6"/>
  <c r="S809" i="6"/>
  <c r="S777" i="6"/>
  <c r="S745" i="6"/>
  <c r="S681" i="6"/>
  <c r="S649" i="6"/>
  <c r="S585" i="6"/>
  <c r="S553" i="6"/>
  <c r="S521" i="6"/>
  <c r="S457" i="6"/>
  <c r="S425" i="6"/>
  <c r="S393" i="6"/>
  <c r="S361" i="6"/>
  <c r="S329" i="6"/>
  <c r="S297" i="6"/>
  <c r="S265" i="6"/>
  <c r="S233" i="6"/>
  <c r="S201" i="6"/>
  <c r="S169" i="6"/>
  <c r="S137" i="6"/>
  <c r="S105" i="6"/>
  <c r="S73" i="6"/>
  <c r="S41" i="6"/>
  <c r="S9" i="6"/>
  <c r="R549" i="6"/>
  <c r="R537" i="6"/>
  <c r="R529" i="6"/>
  <c r="R517" i="6"/>
  <c r="R509" i="6"/>
  <c r="R501" i="6"/>
  <c r="R489" i="6"/>
  <c r="R453" i="6"/>
  <c r="R441" i="6"/>
  <c r="R429" i="6"/>
  <c r="R385" i="6"/>
  <c r="R365" i="6"/>
  <c r="R353" i="6"/>
  <c r="R325" i="6"/>
  <c r="R313" i="6"/>
  <c r="S858" i="6"/>
  <c r="S786" i="6"/>
  <c r="S770" i="6"/>
  <c r="S754" i="6"/>
  <c r="S690" i="6"/>
  <c r="S682" i="6"/>
  <c r="S594" i="6"/>
  <c r="S546" i="6"/>
  <c r="S474" i="6"/>
  <c r="S466" i="6"/>
  <c r="S450" i="6"/>
  <c r="S418" i="6"/>
  <c r="S402" i="6"/>
  <c r="S394" i="6"/>
  <c r="S362" i="6"/>
  <c r="S322" i="6"/>
  <c r="T316" i="6"/>
  <c r="S316" i="6"/>
  <c r="T328" i="6"/>
  <c r="S328" i="6"/>
  <c r="T356" i="6"/>
  <c r="S356" i="6"/>
  <c r="T368" i="6"/>
  <c r="S368" i="6"/>
  <c r="T432" i="6"/>
  <c r="S432" i="6"/>
  <c r="T456" i="6"/>
  <c r="S456" i="6"/>
  <c r="T492" i="6"/>
  <c r="S492" i="6"/>
  <c r="T560" i="6"/>
  <c r="S560" i="6"/>
  <c r="T600" i="6"/>
  <c r="S600" i="6"/>
  <c r="T628" i="6"/>
  <c r="S628" i="6"/>
  <c r="T632" i="6"/>
  <c r="S632" i="6"/>
  <c r="T636" i="6"/>
  <c r="S636" i="6"/>
  <c r="T640" i="6"/>
  <c r="S640" i="6"/>
  <c r="T643" i="6"/>
  <c r="S643" i="6"/>
  <c r="T676" i="6"/>
  <c r="S676" i="6"/>
  <c r="T704" i="6"/>
  <c r="S704" i="6"/>
  <c r="T707" i="6"/>
  <c r="S707" i="6"/>
  <c r="T720" i="6"/>
  <c r="S720" i="6"/>
  <c r="T724" i="6"/>
  <c r="S724" i="6"/>
  <c r="T728" i="6"/>
  <c r="S728" i="6"/>
  <c r="T732" i="6"/>
  <c r="S732" i="6"/>
  <c r="T736" i="6"/>
  <c r="S736" i="6"/>
  <c r="T740" i="6"/>
  <c r="S740" i="6"/>
  <c r="T744" i="6"/>
  <c r="S744" i="6"/>
  <c r="T748" i="6"/>
  <c r="S748" i="6"/>
  <c r="T767" i="6"/>
  <c r="S767" i="6"/>
  <c r="T783" i="6"/>
  <c r="S783" i="6"/>
  <c r="T799" i="6"/>
  <c r="S799" i="6"/>
  <c r="T811" i="6"/>
  <c r="S811" i="6"/>
  <c r="T827" i="6"/>
  <c r="S827" i="6"/>
  <c r="T843" i="6"/>
  <c r="S843" i="6"/>
  <c r="T868" i="6"/>
  <c r="S868" i="6"/>
  <c r="T871" i="6"/>
  <c r="S871" i="6"/>
  <c r="T884" i="6"/>
  <c r="S884" i="6"/>
  <c r="T887" i="6"/>
  <c r="S887" i="6"/>
  <c r="T900" i="6"/>
  <c r="S900" i="6"/>
  <c r="T908" i="6"/>
  <c r="S908" i="6"/>
  <c r="T916" i="6"/>
  <c r="S916" i="6"/>
  <c r="T924" i="6"/>
  <c r="S924" i="6"/>
  <c r="T932" i="6"/>
  <c r="S932" i="6"/>
  <c r="T944" i="6"/>
  <c r="S944" i="6"/>
  <c r="R858" i="6"/>
  <c r="R846" i="6"/>
  <c r="R830" i="6"/>
  <c r="R814" i="6"/>
  <c r="R786" i="6"/>
  <c r="R770" i="6"/>
  <c r="R754" i="6"/>
  <c r="R710" i="6"/>
  <c r="R694" i="6"/>
  <c r="R690" i="6"/>
  <c r="R686" i="6"/>
  <c r="R682" i="6"/>
  <c r="R646" i="6"/>
  <c r="R594" i="6"/>
  <c r="R582" i="6"/>
  <c r="R574" i="6"/>
  <c r="R566" i="6"/>
  <c r="R546" i="6"/>
  <c r="R526" i="6"/>
  <c r="R486" i="6"/>
  <c r="R474" i="6"/>
  <c r="R466" i="6"/>
  <c r="R450" i="6"/>
  <c r="R418" i="6"/>
  <c r="R402" i="6"/>
  <c r="R394" i="6"/>
  <c r="R382" i="6"/>
  <c r="R374" i="6"/>
  <c r="R362" i="6"/>
  <c r="R342" i="6"/>
  <c r="R334" i="6"/>
  <c r="R322" i="6"/>
  <c r="S1099" i="6"/>
  <c r="S1087" i="6"/>
  <c r="S1015" i="6"/>
  <c r="S1007" i="6"/>
  <c r="S941" i="6"/>
  <c r="S789" i="6"/>
  <c r="S773" i="6"/>
  <c r="S757" i="6"/>
  <c r="S669" i="6"/>
  <c r="S661" i="6"/>
  <c r="S653" i="6"/>
  <c r="S621" i="6"/>
  <c r="S613" i="6"/>
  <c r="S597" i="6"/>
  <c r="S557" i="6"/>
  <c r="S549" i="6"/>
  <c r="S517" i="6"/>
  <c r="S509" i="6"/>
  <c r="S501" i="6"/>
  <c r="S453" i="6"/>
  <c r="S429" i="6"/>
  <c r="S365" i="6"/>
  <c r="S325" i="6"/>
  <c r="S1092" i="6"/>
  <c r="S1080" i="6"/>
  <c r="S1068" i="6"/>
  <c r="S1048" i="6"/>
  <c r="S1040" i="6"/>
  <c r="S1028" i="6"/>
  <c r="S1012" i="6"/>
  <c r="S1004" i="6"/>
  <c r="S988" i="6"/>
  <c r="S980" i="6"/>
  <c r="S846" i="6"/>
  <c r="S830" i="6"/>
  <c r="S814" i="6"/>
  <c r="S710" i="6"/>
  <c r="S694" i="6"/>
  <c r="S686" i="6"/>
  <c r="S646" i="6"/>
  <c r="S582" i="6"/>
  <c r="S574" i="6"/>
  <c r="S566" i="6"/>
  <c r="S526" i="6"/>
  <c r="S486" i="6"/>
  <c r="S382" i="6"/>
  <c r="S374" i="6"/>
  <c r="S342" i="6"/>
  <c r="S334" i="6"/>
</calcChain>
</file>

<file path=xl/sharedStrings.xml><?xml version="1.0" encoding="utf-8"?>
<sst xmlns="http://schemas.openxmlformats.org/spreadsheetml/2006/main" count="1134" uniqueCount="1132">
  <si>
    <t>FECHA</t>
  </si>
  <si>
    <t>PRODUCTO</t>
  </si>
  <si>
    <t>ACETA DIAZOL TABL 250MG C/30</t>
  </si>
  <si>
    <t>ACETONA JALOMA 60ML</t>
  </si>
  <si>
    <t>ACETONA LASA 55ML</t>
  </si>
  <si>
    <t>ACIDO ASCÓRBICOSLIY1G/10ML</t>
  </si>
  <si>
    <t>ACIDO NALIDIXICO-FENAZO TABL 5</t>
  </si>
  <si>
    <t>ACIDO TRANEXANICO SLIY 1000MG/</t>
  </si>
  <si>
    <t>ACTILYSE SLIY 50MG/50ML C/2</t>
  </si>
  <si>
    <t>ACTRON CAPS 600MG C/10</t>
  </si>
  <si>
    <t>ACTRON PLUS CAPS 400-100MG C/1</t>
  </si>
  <si>
    <t>AEROCAMARA RESPICHAMBER ADULTO</t>
  </si>
  <si>
    <t>AF ACIDO FOLICO TABL 5MG C/50</t>
  </si>
  <si>
    <t>AFRIN AD SLNS SPRY 50MG 20ML</t>
  </si>
  <si>
    <t>AGUA INYECTABLE SLIY 10ML PI</t>
  </si>
  <si>
    <t>AGUA LEVITE  LIMON  1000ML</t>
  </si>
  <si>
    <t>AGUA LEVITE FRESA 1000ML</t>
  </si>
  <si>
    <t>AGUA LEVITE FRESA 1400ML</t>
  </si>
  <si>
    <t>AGUA LEVITE MANZANA KIWI 1000M</t>
  </si>
  <si>
    <t>AGUA LEVITE PIÑA COCO 1000ML</t>
  </si>
  <si>
    <t>AGUA LEVITE PIÑA COCO 1400ML</t>
  </si>
  <si>
    <t>AGUA NATURAL 1000ML</t>
  </si>
  <si>
    <t>AGUA NATURAL 1500ML</t>
  </si>
  <si>
    <t>AGUA NATURAL 600ML</t>
  </si>
  <si>
    <t>AGUJA UF DESECH 32Gx4MM C/10</t>
  </si>
  <si>
    <t>AKIRA SPRY 0.05%  NASAL</t>
  </si>
  <si>
    <t>ALBUMINA HUM SLIY 20% 50ML REF</t>
  </si>
  <si>
    <t>ALBUMINA HUM SLIY 25% 50ML REF</t>
  </si>
  <si>
    <t>ALCOHOL LASA  120ML</t>
  </si>
  <si>
    <t>ALIN DEPOT SPIY 4MG/ML 2ML</t>
  </si>
  <si>
    <t>ALKASELTZER TBEF 1.9-1G  C/12</t>
  </si>
  <si>
    <t>ALLEGRA TABL 180 MG C/10</t>
  </si>
  <si>
    <t>ALNEX SLIY 1G/2ML</t>
  </si>
  <si>
    <t>ALOPURINOL TABL 300MG C/20</t>
  </si>
  <si>
    <t>ALPRAZOLAM TABL 0.5 MG C/30</t>
  </si>
  <si>
    <t>ALWAYS NOCHES TRANQ C/8 31CM</t>
  </si>
  <si>
    <t>AMBROXOLSLOR300MG/100ML120ML</t>
  </si>
  <si>
    <t>AMIKACINA (AMK) SLIY 500MG/2ML</t>
  </si>
  <si>
    <t>AMIKACINA SLIY (AMK) 100MG/2ML</t>
  </si>
  <si>
    <t>AMLODIPINO TABLETA 5MG C/10</t>
  </si>
  <si>
    <t>AMOX/AC.CLAV 875-125MG C/10 AM</t>
  </si>
  <si>
    <t>AMPICILINA SLIY 1G/5ML AMSA</t>
  </si>
  <si>
    <t>ANARA TABL 5MG C/20</t>
  </si>
  <si>
    <t>ANGIOPOHL SLIY 1MG/ML 50ML</t>
  </si>
  <si>
    <t>ANGIOTROFIN GEL 2% 60G</t>
  </si>
  <si>
    <t>ANGIOTROFIN TABL 30MG C/30</t>
  </si>
  <si>
    <t>ANTIFLUDES CAPS 50-300MG C/24</t>
  </si>
  <si>
    <t>ARTERINA SLIY 20 UI/1ML</t>
  </si>
  <si>
    <t>ASOFLON-DUO CPLP 0.5-0.4MG C/3</t>
  </si>
  <si>
    <t>ASPIRINA PROTEC TABL 100MG C/2</t>
  </si>
  <si>
    <t>ATEMPERATOR TABL 200MG C/40</t>
  </si>
  <si>
    <t>ATORVASTATINA TABL 20MG C/10</t>
  </si>
  <si>
    <t>ATORVASTATINA TABL 40MG C10 AM</t>
  </si>
  <si>
    <t>ATROPINA SLIY 1MG/1ML</t>
  </si>
  <si>
    <t>AUTRIN TABL 600MG C/36</t>
  </si>
  <si>
    <t>AVAMYS  2A SPNS 27.5MCG/50MCL</t>
  </si>
  <si>
    <t>AVAPENA SLIY 20MG/2ML</t>
  </si>
  <si>
    <t>BAÑO COLOIDE PVTP SOBR 90G</t>
  </si>
  <si>
    <t>BARMICIL CMP CREMA C/40G</t>
  </si>
  <si>
    <t>BEDOYECTA TRI SLIY 2ML C/5</t>
  </si>
  <si>
    <t>BENADRYL JARA 250MG 120 ML</t>
  </si>
  <si>
    <t>BENADRYL TABL 25 MG C/24</t>
  </si>
  <si>
    <t>BENEDORM TABL 5 MG C/20</t>
  </si>
  <si>
    <t>BENEDORM TBSL 3 MG C/40</t>
  </si>
  <si>
    <t>BEPANTHEN POM 5%  TUB 30G</t>
  </si>
  <si>
    <t>BEXIDENT ENCIAS ENJ 0.12% 250M</t>
  </si>
  <si>
    <t>BEZAFIBRATO TABL 200MG C/30 NV</t>
  </si>
  <si>
    <t>BIBERON EVENFLO DREAMS 120ML</t>
  </si>
  <si>
    <t>BICAR SODIO SLIY 7.5% 10ML PI</t>
  </si>
  <si>
    <t>BICAR SODIO SLIY 7.5% 50ML PI</t>
  </si>
  <si>
    <t>BOLENTAX JGPR 80MG/0.8ML</t>
  </si>
  <si>
    <t>BOLENTAX SLIY 20MG/0.2ML</t>
  </si>
  <si>
    <t>BOLENTAX SLIY 40MG/0.4ML</t>
  </si>
  <si>
    <t>BOLENTAX SLIYJGPR60MG/0.6ML</t>
  </si>
  <si>
    <t>BOOST HIGH PROTEIN VAIN 237ML</t>
  </si>
  <si>
    <t>BOOST ORIGINAL CHOC 237ML</t>
  </si>
  <si>
    <t>BOOST ORIGINAL VAIN 237ML</t>
  </si>
  <si>
    <t>BOTA WALKER  MEDIANA LARGA</t>
  </si>
  <si>
    <t>BRAXAN TABL 200MG C/20</t>
  </si>
  <si>
    <t>BROMIPRA-SALB SPPN 0.5/2.5MG</t>
  </si>
  <si>
    <t>BROMURO PINAVERIO TABL 100MG C</t>
  </si>
  <si>
    <t>BRONCOLIN PALETA MIEL EUCAL</t>
  </si>
  <si>
    <t>BUDESONIDA SPPN 0.500MG/2ML</t>
  </si>
  <si>
    <t>BUFIGEN SLIY 10MG/1ML G(II)</t>
  </si>
  <si>
    <t>BUPRENORFINA SLIY 0.3MG/1ML AM</t>
  </si>
  <si>
    <t>BUTILHIOSCINA  TABL 10MG C/10</t>
  </si>
  <si>
    <t>BUTILHIOSCINA SLIY 20MG/ML</t>
  </si>
  <si>
    <t>BUTIL-METAMIZOL GRAG10MG-250MG</t>
  </si>
  <si>
    <t>CABESTRILLO CHICO</t>
  </si>
  <si>
    <t>CAFIASPIRINA TABL500-30MG C/40</t>
  </si>
  <si>
    <t>CALCORT TABL 30MG C/10</t>
  </si>
  <si>
    <t>CAPTOPRIL TABL 25MG C/30</t>
  </si>
  <si>
    <t>CASEC 100G PROTEINA EN POLVO</t>
  </si>
  <si>
    <t>CASPOFUNGINA SLIY 50MG</t>
  </si>
  <si>
    <t>CEFALEXINA CAPS 500MG C/20</t>
  </si>
  <si>
    <t>CEFALOTINA SLIY 1G/5ML IV</t>
  </si>
  <si>
    <t>CEFEPIMA SLIY 1G/10ML</t>
  </si>
  <si>
    <t>CEFOTAXIMA 1G/4ML IV</t>
  </si>
  <si>
    <t>CEFTRIAXONA SLIY 1G/10ML IV</t>
  </si>
  <si>
    <t>CEFTRIAXONA SLIY 1G/3.5ML IM</t>
  </si>
  <si>
    <t>CELEBREX  CAPS 200MG C/10</t>
  </si>
  <si>
    <t>CELECOXIB  CAPS 200MG C/10</t>
  </si>
  <si>
    <t>CELESTAMINE NS TABL5-0.25MG/10</t>
  </si>
  <si>
    <t>CENTRUM GENDER MUJER TABL C/60</t>
  </si>
  <si>
    <t>CENTRUM SILVER+50 TABL C/60</t>
  </si>
  <si>
    <t>CEPILLO COLGATE  TRIPLE ACCION</t>
  </si>
  <si>
    <t>CETOLÁN TABL 630MG C/100</t>
  </si>
  <si>
    <t>CHUPON ROSMAR</t>
  </si>
  <si>
    <t>CICALFATE CREMA C/40ML</t>
  </si>
  <si>
    <t>CINARIZINA TABL 75MG C/60</t>
  </si>
  <si>
    <t>CINITAPRIDA COMP. 1MG C/25 AM</t>
  </si>
  <si>
    <t>CIPROBAC SLIY 400MG/200ML PI</t>
  </si>
  <si>
    <t>CIRTRENT SLIY 150MG/3ML</t>
  </si>
  <si>
    <t>CISATRACURIO SLIY 2MG/ML 5ML</t>
  </si>
  <si>
    <t>CLINDAMICINA CAPS 300MG C/16</t>
  </si>
  <si>
    <t>CLINDAMICINA SLIY 600MG/4ML AM</t>
  </si>
  <si>
    <t>CLONIXIN LISI SLIY100MG/2ML AM</t>
  </si>
  <si>
    <t>CLONIXINATO DE LISINA TABL 250</t>
  </si>
  <si>
    <t>CLONIXINATOLISINA TABL125MG C/</t>
  </si>
  <si>
    <t>CLOPIDOGREL TAB 75MG C/14</t>
  </si>
  <si>
    <t>CLORANFENICOL SLOF 5MG 15ML</t>
  </si>
  <si>
    <t>CLORTALIDONA TABL 50MG C/20</t>
  </si>
  <si>
    <t>CLORU POTASIO SLIY 1.49G/5ML P</t>
  </si>
  <si>
    <t>COLCHIQUIM TABL 1 MG C/20</t>
  </si>
  <si>
    <t>COLISTIMETATO SLIY 150MG</t>
  </si>
  <si>
    <t>COLLAR PHILADELPHIA BEIGE MED</t>
  </si>
  <si>
    <t>COLLARIN CERV BLANDO CHICO</t>
  </si>
  <si>
    <t>CONTUMAX PVOR SOBR 17G C/15</t>
  </si>
  <si>
    <t>COPINAR TABL100MG C/28</t>
  </si>
  <si>
    <t>CORTA UÑAS ROGER</t>
  </si>
  <si>
    <t>CORTADOR DE TABLETAS EZYDOSE</t>
  </si>
  <si>
    <t>CREMA D COLGATE MFP  22ML</t>
  </si>
  <si>
    <t>CREMA SMILES COLGATE 75ML</t>
  </si>
  <si>
    <t>CUBREBOCA 3 PLIEGUES</t>
  </si>
  <si>
    <t>CUBREBOCA N95</t>
  </si>
  <si>
    <t>DAFLON TABL 500MG C/20</t>
  </si>
  <si>
    <t>DANZEN TABL 10MG C/20</t>
  </si>
  <si>
    <t>DESLORATADINA TABL 5MG C/10</t>
  </si>
  <si>
    <t>DEXAMETASONA 6MG TABL C/10</t>
  </si>
  <si>
    <t>DEXAMETASONA SLIY 8MG/2ML</t>
  </si>
  <si>
    <t>DEXERYL CREM TUB 250G</t>
  </si>
  <si>
    <t>DEXIVANT TABL LR 60MG C/7</t>
  </si>
  <si>
    <t>DEXKETOPROFENO TABL 25MG C10</t>
  </si>
  <si>
    <t>DEXLANSOPRAZOL CAPS 60 MG C/14</t>
  </si>
  <si>
    <t>DEXMEDETOMIDINA SLIY 200MCG/2M</t>
  </si>
  <si>
    <t>DICLOFENACO SLIY 75MG/3ML AM</t>
  </si>
  <si>
    <t>DICLOFENACO TABL 100MG C/20</t>
  </si>
  <si>
    <t>DICLOXACILINA CAPS 500MG/20</t>
  </si>
  <si>
    <t>DICYNONE SLIY 250MG 2ML</t>
  </si>
  <si>
    <t>DIFENHIDRAMINA SLIY 100MG/10ML</t>
  </si>
  <si>
    <t>DIFENIDOL SLIY 40MG/2ML AM</t>
  </si>
  <si>
    <t>DIOSMINA-HESPIRIDINA 450MG/50M</t>
  </si>
  <si>
    <t>DIPRIVAN SLIY 200MG/20ML</t>
  </si>
  <si>
    <t>DIPROSPAN HYPAK SPIY7MG/ML</t>
  </si>
  <si>
    <t>DORSAL TABL 15-200MG C/7</t>
  </si>
  <si>
    <t>DOSIER 5MG TAB C/30</t>
  </si>
  <si>
    <t>DOXIUM CAPS 500MG C/30</t>
  </si>
  <si>
    <t>DULOXETINA TBLP 30MG C/7</t>
  </si>
  <si>
    <t>DUODERM EXTRA THIN APO 10X10</t>
  </si>
  <si>
    <t>DUODERM PARC 10X10 CGF</t>
  </si>
  <si>
    <t>DYNASTAT SLIY 40MG/2ML</t>
  </si>
  <si>
    <t>ELICUIS TABL 5 MG C/20</t>
  </si>
  <si>
    <t>ENALAPRIL TABL 10MG C/30</t>
  </si>
  <si>
    <t>ENSURE NET  FRESA BOT 237 ML</t>
  </si>
  <si>
    <t>ENSURE NET CHOC BOT 237 ML</t>
  </si>
  <si>
    <t>ENSURE NET VAINILLA BOT 237 ML</t>
  </si>
  <si>
    <t>ENTEREX IMX SOBRE 131G VAINILL</t>
  </si>
  <si>
    <t>ENTEROGERMINA SPOR 2B/5ML C/20</t>
  </si>
  <si>
    <t>ERGOMETRINA SLIY 0.2MG/ML REFR</t>
  </si>
  <si>
    <t>ERITROPOYETINA SLIY 4000U/ML</t>
  </si>
  <si>
    <t>ERITROPOYETINA SLIY2000U/M REF</t>
  </si>
  <si>
    <t>ESCITALOPRAM TABL 10MG C/14 AM</t>
  </si>
  <si>
    <t>ESMISEN TABL 5-50-50-1MG C/10</t>
  </si>
  <si>
    <t>ESPIRONOLACTONA TABL 25MG C/30</t>
  </si>
  <si>
    <t>ESPONJA  DAMACO CHICO</t>
  </si>
  <si>
    <t>ESTERICIDE SOL ANTISEP 60ML</t>
  </si>
  <si>
    <t>ETORICOXIB COMP 90MG C/7</t>
  </si>
  <si>
    <t>EUTIROX TABL 100MCG C/50</t>
  </si>
  <si>
    <t>EUTIROX TABL 25MCG C/50</t>
  </si>
  <si>
    <t>EVOCS SLIY 500MG/100ML</t>
  </si>
  <si>
    <t>EVOCS SLIY 750MG/150ML</t>
  </si>
  <si>
    <t>EXFORGE HCT 10MG/320MG/25MG C/</t>
  </si>
  <si>
    <t>FENATEN SLIY 250MG/5ML</t>
  </si>
  <si>
    <t>FENAZOPIRIDINA TABL 100MG C/20</t>
  </si>
  <si>
    <t>FENTANILO SLIY 0.5MG/10ML</t>
  </si>
  <si>
    <t>FERULA DEDO TIPO RANA MED</t>
  </si>
  <si>
    <t>FERULA RODILLA TRIPANEL UNIV</t>
  </si>
  <si>
    <t>FERVAL TABL 200MG C/50</t>
  </si>
  <si>
    <t>FIRAC TABL125MG C/10</t>
  </si>
  <si>
    <t>FLARICEL CAPS 90 MG  LP C/14</t>
  </si>
  <si>
    <t>FLEXIVER CAPS 15-215MG C/20</t>
  </si>
  <si>
    <t>FLUCONAZOL CAPS 150MG C/1 AM</t>
  </si>
  <si>
    <t>FLUCONAZOL SLIY 100MG/50ML</t>
  </si>
  <si>
    <t>FLUONING SLIY 750MG/150ML PI</t>
  </si>
  <si>
    <t>FLUOXETINA TABL20MG C/14 AM</t>
  </si>
  <si>
    <t>FOSFANEMA SLRC 133ML</t>
  </si>
  <si>
    <t>FOSFATO POTASIO SLIY 10ML PI</t>
  </si>
  <si>
    <t>FUROSEMIDA TABL 40MG C/20</t>
  </si>
  <si>
    <t>GABAPENTINA CAPS 300MG C/15</t>
  </si>
  <si>
    <t>GASA ESTERIL LE ROY 10X10 C/10</t>
  </si>
  <si>
    <t>GASOMETRIA CARTUCHO C/1REF</t>
  </si>
  <si>
    <t>GENTAMICINA SLIY 160MG/2ML AMS</t>
  </si>
  <si>
    <t>GLUCERNA SR NET 237ML FRESA</t>
  </si>
  <si>
    <t>GLUCERNA SR NET 237ML VAINILLA</t>
  </si>
  <si>
    <t>GLUCERNA SR NET CHOC BOT 237ML</t>
  </si>
  <si>
    <t>GLUCONATO CALCIO SLIY 10% 10ML</t>
  </si>
  <si>
    <t>GRATEN SLIY 10MG/10ML</t>
  </si>
  <si>
    <t>GRATEN SLIY 2.5MG/2.5ML SI AMP</t>
  </si>
  <si>
    <t>HALDOL SLOR 2MG/ML  30ML</t>
  </si>
  <si>
    <t>HALOPERIDOL SLIY 5MG/ML PI</t>
  </si>
  <si>
    <t>HEAD &amp; SHOULDER SPHO SOBR 10ML</t>
  </si>
  <si>
    <t>HENEXAL SLIY 20MG/2ML</t>
  </si>
  <si>
    <t>HIDRASEC CAPS 100MG C/9</t>
  </si>
  <si>
    <t>HIDRASEC GRAN SOBR 10MG C/18</t>
  </si>
  <si>
    <t>HIDROCLOROTIAZIDATABL25MC/20</t>
  </si>
  <si>
    <t>HIDROCORTISONA SLIY 500MG/5ML</t>
  </si>
  <si>
    <t>HIDROCORTISONASLIY100MG/2ML PI</t>
  </si>
  <si>
    <t>HIPROMELOSA SLOF 0.5% 10ML</t>
  </si>
  <si>
    <t>HISTOFIL TABL DISPERSABLE 4000</t>
  </si>
  <si>
    <t>HUMYLUB PF OFTENO SLOF 10ML</t>
  </si>
  <si>
    <t>IBUPROFENO TABL 400MG C/10</t>
  </si>
  <si>
    <t>IBUPROFENO TABL 600MG C/10</t>
  </si>
  <si>
    <t>IMIPENEM-CILASTATINA SLIY 500-</t>
  </si>
  <si>
    <t>INDAMID SLIY 300MG/2ML</t>
  </si>
  <si>
    <t>INHEPAR SLIY 10,000 UI 10ML</t>
  </si>
  <si>
    <t>INHEPAR SLIY 50,000 UI  10ML</t>
  </si>
  <si>
    <t>INMOVILIZADOR HOMBRO UNIV</t>
  </si>
  <si>
    <t>INSPI-FLO INSPIROMETRO</t>
  </si>
  <si>
    <t>INSUL HUMANA NPH SLIY 100UI/ML</t>
  </si>
  <si>
    <t>INSUL HUMANA RAP SLIY 100UI/ML</t>
  </si>
  <si>
    <t>INVANZ SLIY 1G/3.2ML</t>
  </si>
  <si>
    <t>IPRIKENE PVOR 3G C/10 SOBR</t>
  </si>
  <si>
    <t>ITALDERMOL CREM 30G</t>
  </si>
  <si>
    <t>ITALDERMOL G CREM 30G</t>
  </si>
  <si>
    <t>ITALDERMOL GASAS CREM 4G C/3</t>
  </si>
  <si>
    <t>JABON GRISI NEUTRO 100G</t>
  </si>
  <si>
    <t>JERINGA NIPRO 10ML VERDE 21X32</t>
  </si>
  <si>
    <t>JERINGA NIPRO 5ML VERDE 21GX31</t>
  </si>
  <si>
    <t>JERINGA PERA HULE EDIGAR N2</t>
  </si>
  <si>
    <t>JERINGA PERA HULE ROGER N1</t>
  </si>
  <si>
    <t>JOHNSONS BABY SHAMPOO 200ML</t>
  </si>
  <si>
    <t>JUGO DE FRESA 1000ML</t>
  </si>
  <si>
    <t>JUGO DE GUANABANA 1000ML</t>
  </si>
  <si>
    <t>JUGO DE PIÑA ALFALFA 1400ML</t>
  </si>
  <si>
    <t>JUGO DE UVA 1000ML</t>
  </si>
  <si>
    <t>JUGO GUAYABA 1000ML</t>
  </si>
  <si>
    <t>JUGO JAMAICA 1500ML</t>
  </si>
  <si>
    <t>JUGO NARANJADA 1000ML</t>
  </si>
  <si>
    <t>JUGO PIÑA 1000ML</t>
  </si>
  <si>
    <t>JUGO PIÑA 1400 ML L</t>
  </si>
  <si>
    <t>JUGO TAMARINDO 1000ML</t>
  </si>
  <si>
    <t>KERAL TABL 25MG C/10</t>
  </si>
  <si>
    <t>KETOPROFENO CAPS 100MG C/15</t>
  </si>
  <si>
    <t>KETOROLACO SLIY 30MG/ML AM</t>
  </si>
  <si>
    <t>KETOROLACO TAB SUBL 30MG C/4</t>
  </si>
  <si>
    <t>KETOROLACO TABL 10MG C/10</t>
  </si>
  <si>
    <t>KISIKA TABL 30 MG C/10</t>
  </si>
  <si>
    <t>KLARICID IV SLIY 500MG/10ML</t>
  </si>
  <si>
    <t>KODEL JARA 160/200 MG FCO/200</t>
  </si>
  <si>
    <t>KOTEX UNIKA TLLS NOC ALAS C/10</t>
  </si>
  <si>
    <t>KRIADEX SLOR 2.5MG/ML 10ML II</t>
  </si>
  <si>
    <t>LABELLO CEREZA TUB 4.8G</t>
  </si>
  <si>
    <t>LACTOSA POLVO 250G</t>
  </si>
  <si>
    <t>LACTULAX JARA 10G/15ML 125ML</t>
  </si>
  <si>
    <t>LANTUS SOLOSTAR CCHO 1 3ML REF</t>
  </si>
  <si>
    <t>LAS Y GRAGE</t>
  </si>
  <si>
    <t>LASA GEL ANTIBACTERIAL 120ML</t>
  </si>
  <si>
    <t>LEUKOPOR BLANCO 1.25CM X 5M</t>
  </si>
  <si>
    <t>LEVETIRACETAM TABL 500MG C/60</t>
  </si>
  <si>
    <t>LEVOCETIRIZINA TABL 5MG C/10</t>
  </si>
  <si>
    <t>LEVODROPROPIZINA SLOR 600MG 12</t>
  </si>
  <si>
    <t>LEVOFLOXACINO  TABL 750MG C/7</t>
  </si>
  <si>
    <t>LEVOFLOXACINO TABL500MG C/7 AM</t>
  </si>
  <si>
    <t>LEVOSIMENDAN SLIY 2.5MG/ML</t>
  </si>
  <si>
    <t>LIBERTRIM SII COMP 200-75MG/24</t>
  </si>
  <si>
    <t>LIBERTRIM SII COMP100-37.5 /20</t>
  </si>
  <si>
    <t>LIBERTRIM SLIY 50MG/5ML</t>
  </si>
  <si>
    <t>LIBERTRIM TABL 100MG C/20</t>
  </si>
  <si>
    <t>LOGICOS)</t>
  </si>
  <si>
    <t>LOPERAMIDA TABL 2MG C/12</t>
  </si>
  <si>
    <t>LOPRESOR R TBLP 95 MG FCO/30 T</t>
  </si>
  <si>
    <t>LORATADINA TABL 10MG C/10</t>
  </si>
  <si>
    <t>LOSARTAN TABL 50 MG C/30</t>
  </si>
  <si>
    <t>LOSARTAN-HCT GRAG 50-12.5MG C/</t>
  </si>
  <si>
    <t>LOZAM TABL 1 MG C/40</t>
  </si>
  <si>
    <t>LUBRIDERM REP INTENS 200ML</t>
  </si>
  <si>
    <t>LYSOMUCIL TBER 600MG C/20</t>
  </si>
  <si>
    <t>MALIVAL CAPS 25MG C/30</t>
  </si>
  <si>
    <t>MECLISON TABL 25MG/50MG C/20</t>
  </si>
  <si>
    <t>MEDIA PROTED ANTIEMB CH LARGA</t>
  </si>
  <si>
    <t>MEDIA PROTED ANTIEMB GDE LARGA</t>
  </si>
  <si>
    <t>MEDIA PROTED ANTIEMB MED LARGA</t>
  </si>
  <si>
    <t>MELOX PLUS CZA SPOR 3.7G FCO 3</t>
  </si>
  <si>
    <t>MELOX PLUS TABLETA MS CZA C/30</t>
  </si>
  <si>
    <t>MELOXICAM TABL 15MG C/10</t>
  </si>
  <si>
    <t>MELOXI-METOCAR TABL 7.5-215MG/</t>
  </si>
  <si>
    <t>MEMANTINA TABL 10MG C/30</t>
  </si>
  <si>
    <t>MEPRIZINA SLIY 1G/2ML</t>
  </si>
  <si>
    <t>MEROPENEM SLIY 1G/20ML PI</t>
  </si>
  <si>
    <t>METAMIZOL SODICO TABL 500MG C/</t>
  </si>
  <si>
    <t>METAMUCIL PVOR FCO 174G NARANJ</t>
  </si>
  <si>
    <t>METEOSPASMYL CAPS 60-300MG C20</t>
  </si>
  <si>
    <t>METFORMINA TABL 500MG C/30</t>
  </si>
  <si>
    <t>METFORMINA TABL 850MG C/30</t>
  </si>
  <si>
    <t>METICORTEN TABL 20MG C/30</t>
  </si>
  <si>
    <t>METILPREDNISOLONASLIY500MG/8ML</t>
  </si>
  <si>
    <t>METOCLOPRAMIDA TABL 10MG C/20</t>
  </si>
  <si>
    <t>METOPROLOL TABL 100MG C/20</t>
  </si>
  <si>
    <t>METOTREXATO TABL 2.5 MG C/50</t>
  </si>
  <si>
    <t>METRONIDAZOL TABL 500MG C/30</t>
  </si>
  <si>
    <t>MEXSANA PVTP 160G</t>
  </si>
  <si>
    <t>MICRODACYN 60 SPRY 120ML</t>
  </si>
  <si>
    <t>MICROLAX SPRC 90MG/9MG/ML C/4</t>
  </si>
  <si>
    <t>MIDAZOLAM  SLIY 15MG/3ML G(II)</t>
  </si>
  <si>
    <t>MINIPRES TABLETA 1MG C/30</t>
  </si>
  <si>
    <t>MISTAN TAB 90MG C/14</t>
  </si>
  <si>
    <t>MONTELUKAST COMP 5MG C/30</t>
  </si>
  <si>
    <t>MOTRIN SPOR INF 2G/100ML 120ML</t>
  </si>
  <si>
    <t>MOTRIN SPOR PED 40MG/ML 15ML</t>
  </si>
  <si>
    <t>MOVITREM TAB 245/200MG C/30</t>
  </si>
  <si>
    <t>MUPIROCINA 2% UNGU 15G</t>
  </si>
  <si>
    <t>NAFAZOLINA SLOF 1MG/ML 15ML AM</t>
  </si>
  <si>
    <t>NAPROXENO SODICO TABL 550MG C/</t>
  </si>
  <si>
    <t>NEOSPORIN DERMICO UNGU 30G</t>
  </si>
  <si>
    <t>NEURALIN SLIY AMP-1+ AMP2 3ML</t>
  </si>
  <si>
    <t>NEXIUM IV SLIY 40 MG C/1</t>
  </si>
  <si>
    <t>NEXIUM MUPS TABL 40MG C/7</t>
  </si>
  <si>
    <t>NIFEDIPINO TABL LP 30MG C/30</t>
  </si>
  <si>
    <t>NISTATINA SPOR 24ML</t>
  </si>
  <si>
    <t>NITROFURANTOINA CAPS 100MG C/4</t>
  </si>
  <si>
    <t>NOREPINEFRINA SLIY 4MG/4ML</t>
  </si>
  <si>
    <t>NORVAS TABL 10MG C/20</t>
  </si>
  <si>
    <t>NOVOLEXIN CAPS 40MG C/14</t>
  </si>
  <si>
    <t>NOVOLEXIN CAPS 40MG C/7</t>
  </si>
  <si>
    <t>NULYTELY PVOR LIMA-LIMÓN 110.1</t>
  </si>
  <si>
    <t>OLANZAPINA TABL 5MG C/14</t>
  </si>
  <si>
    <t>OLICLINOMEL TRICAMARA NA 7 2LT</t>
  </si>
  <si>
    <t>OLIMEL TRICAMARA NA 7 1LT</t>
  </si>
  <si>
    <t>OLMESARTAN MEDOXOMILO</t>
  </si>
  <si>
    <t>OLUMIANT TABL 4 MG C/28 T</t>
  </si>
  <si>
    <t>OMEPRAZOL CAPS 20MG C/14</t>
  </si>
  <si>
    <t>OMEPRAZOL SLIY 40MG/10ML AM</t>
  </si>
  <si>
    <t>ONDANSETRON SLIY 8MG/4ML</t>
  </si>
  <si>
    <t>ONDANSETRON SLIY 8MG/4ML INTRA</t>
  </si>
  <si>
    <t>ONDANSETRON TABL 8MG C/10</t>
  </si>
  <si>
    <t>ORAL B ENJ GINGIV FCO 350ML</t>
  </si>
  <si>
    <t>OTROZOL SLIY 500MG/100ML</t>
  </si>
  <si>
    <t>OXITOPISA SLIY  5UI/1ML REF</t>
  </si>
  <si>
    <t>PANTOPRAZOL TABL 20MG C/7 AM</t>
  </si>
  <si>
    <t>PANTOPRAZOL TABL 40MG C/14</t>
  </si>
  <si>
    <t>PAÑAL ETAPA 5</t>
  </si>
  <si>
    <t>PAÑAL ETAPA 7</t>
  </si>
  <si>
    <t>PAÑUELOS KLEENEX BOLSILLO C/14</t>
  </si>
  <si>
    <t>PAPEL HIGIENICO ROLLO F</t>
  </si>
  <si>
    <t>PARACETAMOL SLIY 1G/100ML</t>
  </si>
  <si>
    <t>PARACETAMOL TABL 500MG C/10</t>
  </si>
  <si>
    <t>PARACETAMOL TABL 750MG C/10</t>
  </si>
  <si>
    <t>PEDIALYTE SR 60 FRESA BOTE 500</t>
  </si>
  <si>
    <t>PEDIALYTE SR 60 MANZANA BOTE 5</t>
  </si>
  <si>
    <t>PEDIALYTE SR 60 UVA BOTE 500ML</t>
  </si>
  <si>
    <t>PEMIX GRAN SOBR 1MG C/30</t>
  </si>
  <si>
    <t>PEPSANE GEL 3G/4MG C/14</t>
  </si>
  <si>
    <t>PEPTOBISMOL SPOR  118ML CZA</t>
  </si>
  <si>
    <t>PEPTOBISMOL SUSP 118ML CZA</t>
  </si>
  <si>
    <t>PEPTOBISMOL TBMS C/12</t>
  </si>
  <si>
    <t>PERIOXIDIN ENJUAGUE BUCAL 200M</t>
  </si>
  <si>
    <t>PHLEBODIA COMP 600MG C/15</t>
  </si>
  <si>
    <t>PINADRINA SLIY 1MG/ML</t>
  </si>
  <si>
    <t>PIPERACICLINA/TAZOBACTAM SLIY</t>
  </si>
  <si>
    <t>PISACAINA EPIN SLIY 2% 50ML</t>
  </si>
  <si>
    <t>PISACAINA SLIY 1% 50ML</t>
  </si>
  <si>
    <t>PISACAINA SLIY 2% 10ML</t>
  </si>
  <si>
    <t>PISACAINA SLIY 2% 50ML</t>
  </si>
  <si>
    <t>PISALPRA TABL 0.25MG C/30 (II)</t>
  </si>
  <si>
    <t>PIXIRIV SLIY 400MG/250ML</t>
  </si>
  <si>
    <t>PLANTAGO  PVOR  400G</t>
  </si>
  <si>
    <t>PRAMOTIL SLIY 10MG/2ML</t>
  </si>
  <si>
    <t>PRAZOLAN SLIY 40MG/10ML</t>
  </si>
  <si>
    <t>PREDNISONA TABL 50MG C/20</t>
  </si>
  <si>
    <t>PREDNISONA TABL 5MG C/20</t>
  </si>
  <si>
    <t>PREGABALINA CAP 75MG C/14 AM</t>
  </si>
  <si>
    <t>PREGABALINA CAPS 75MG C/28 AM</t>
  </si>
  <si>
    <t>PRIKUL CAPS 50MG C/28</t>
  </si>
  <si>
    <t>PROFENID IM SLIY 100MG/2ML</t>
  </si>
  <si>
    <t>PROFENID IV SLIY 100MG/2ML</t>
  </si>
  <si>
    <t>PROPOFOL EMIY 200MG/20ML</t>
  </si>
  <si>
    <t>PROSTIGMINE SLIY 0.5MG/ML</t>
  </si>
  <si>
    <t>PROTEINEX PVOR 275G</t>
  </si>
  <si>
    <t>PROVERA TABL 5MG C/24</t>
  </si>
  <si>
    <t>PRUEBAS CUTANEAS</t>
  </si>
  <si>
    <t>PULMOCARE LIQ 237ML VNLLA LATA</t>
  </si>
  <si>
    <t>QUADRIDERM NF CREM 25G</t>
  </si>
  <si>
    <t>QUETIAPINA TABL 25MG C/30</t>
  </si>
  <si>
    <t>RACEPINEPHRINE S2 SLPN 2.25% R</t>
  </si>
  <si>
    <t>RASTRILLO C/2</t>
  </si>
  <si>
    <t>RASTRILLO GILLETTE</t>
  </si>
  <si>
    <t>REDOXON AOX TBEF 100MG-10MG-40</t>
  </si>
  <si>
    <t>RELACUM  SLIY 50MG/10ML G(II)</t>
  </si>
  <si>
    <t>RELAZEPAM SLIY 10MG/2ML II</t>
  </si>
  <si>
    <t>RENEGY SLIY 500MG/10ML C/1</t>
  </si>
  <si>
    <t>RESOTRANS TABL 2MG C/14</t>
  </si>
  <si>
    <t>RETIN-A CREM 0.025% 40G</t>
  </si>
  <si>
    <t>RIFOCYNA SPRY 1G 20ML</t>
  </si>
  <si>
    <t>RINELON SPNS SPRY 0.05% 18ML</t>
  </si>
  <si>
    <t>RIOPAN GEL SOBR 8-1G C/10</t>
  </si>
  <si>
    <t>RIOPAN GEL SOBR 8-1G C/20</t>
  </si>
  <si>
    <t>RIOPAN SPOR 8-1G FCO 250ML</t>
  </si>
  <si>
    <t>ROCURONIOSLIY 50MG/5ML</t>
  </si>
  <si>
    <t>SAL UVAS PICOT SOBR C/10</t>
  </si>
  <si>
    <t>SALBUTAMOL AERO 100MCG 200D FH</t>
  </si>
  <si>
    <t>SENOSIAIN SUPO NIÑO C/10</t>
  </si>
  <si>
    <t>SENOSIDOS A-B TABL 8.6MG C/20</t>
  </si>
  <si>
    <t>SERETIDE EVOHALER AERO 25/250M</t>
  </si>
  <si>
    <t>SEROQUEL XR TBLP 50 MG C/30</t>
  </si>
  <si>
    <t>SERTRALINA TABL 50MG C/14</t>
  </si>
  <si>
    <t>SEVOFLURANO SLPN 100% MILILITR</t>
  </si>
  <si>
    <t>SIG COMP 2.5 MG C/30</t>
  </si>
  <si>
    <t>SILDENAFIL TABL 50MG C/4</t>
  </si>
  <si>
    <t>SINERGIX TBSL 25-10MG C/4</t>
  </si>
  <si>
    <t>SINUBERASE AMP 2BILL C/10</t>
  </si>
  <si>
    <t>SIRDALUD TABL 2MG C/20</t>
  </si>
  <si>
    <t>SOLTRIM TABL 160-800MG C/14</t>
  </si>
  <si>
    <t>SOLUCION DEXTROSA SLIY 50%50ML</t>
  </si>
  <si>
    <t>SOLURAL MANZANA BOT 500ML</t>
  </si>
  <si>
    <t>STADIUM SLIY 50MG/2ML</t>
  </si>
  <si>
    <t>STERIMAR SLNS AD FCO 50ML</t>
  </si>
  <si>
    <t>STERIMAR SLNS BEBE FCO 50ML</t>
  </si>
  <si>
    <t>SUCRALFATO TABL 1G C/40</t>
  </si>
  <si>
    <t>SUFREXAL GEL VAG 78G C/APLIC</t>
  </si>
  <si>
    <t>SULFATO MAGNESIO SLIY1G/10ML P</t>
  </si>
  <si>
    <t>SUPPORTAN CAPUCHINO 200ML</t>
  </si>
  <si>
    <t>SUPRADOL CAFEINA TABL 10MG/50M</t>
  </si>
  <si>
    <t>SUPRADOL SLIY 60MG/2ML</t>
  </si>
  <si>
    <t>SUPRADOL TBSL 30MG C/4</t>
  </si>
  <si>
    <t>SUPRADOLDUET SLIY 10MG-25MG/1M</t>
  </si>
  <si>
    <t>SYNALAR SIMPLE CREM 0.01% 20G</t>
  </si>
  <si>
    <t>SYNALAR-O SLOT GTS 15ML</t>
  </si>
  <si>
    <t>TABCIN TABL C/12</t>
  </si>
  <si>
    <t>TAFIROL TABL 1G C/20</t>
  </si>
  <si>
    <t>TAMSULOSINA CPLP 0.4MG C/20 CA</t>
  </si>
  <si>
    <t>TELA ADHESIVA DIBAR 2.5CMX5M</t>
  </si>
  <si>
    <t>TELMISA-HIDROTABL80-12.5MGC/14</t>
  </si>
  <si>
    <t>TELMISARTAN TABL 40MG C/28 AM</t>
  </si>
  <si>
    <t>TELMISARTAN TABL 80MG C/14 AM</t>
  </si>
  <si>
    <t>TELMISARTAN TABL 80MG C/28 AM</t>
  </si>
  <si>
    <t>TEMPRA JARA INF 3.2G/100ML 120</t>
  </si>
  <si>
    <t>TEMPRA SLOR GTS 100MG/ML 30ML</t>
  </si>
  <si>
    <t>TENA PANTS ROPA INT C/10 G</t>
  </si>
  <si>
    <t>TENDRIN SLIY 50MG/2ML G(II)</t>
  </si>
  <si>
    <t>TERMOMETRO DIGITAL</t>
  </si>
  <si>
    <t>TESALON PERLAS 100MG C/20</t>
  </si>
  <si>
    <t>THRESHOLD IMT VALVULA</t>
  </si>
  <si>
    <t>THRESHOLD PEP VALVULA</t>
  </si>
  <si>
    <t>TIRALECHE CRISTAL</t>
  </si>
  <si>
    <t>TOALLITAS HUMEDAS C/120</t>
  </si>
  <si>
    <t>TOPIRAMATO 25MG C/60</t>
  </si>
  <si>
    <t>TRACEFUSIN SLIY 20ML PI</t>
  </si>
  <si>
    <t>TRADOL SLOR GTS 100MG/1ML</t>
  </si>
  <si>
    <t>TRAMACET TABL 37.5-325MG C/20</t>
  </si>
  <si>
    <t>TRAMADOL SLIY 100MG/2ML AM</t>
  </si>
  <si>
    <t>TRAMADOL TABL 50MG C/50</t>
  </si>
  <si>
    <t>TRAYENTA DUO TABL 2.5/1000MG C</t>
  </si>
  <si>
    <t>TRAZIDEX OFTENO SPOF 3/1MG/ML</t>
  </si>
  <si>
    <t>TRIBEDOCE TABL 100-5MG-50 C/30</t>
  </si>
  <si>
    <t>TRIMETROPRIMA/SULFAMETOXAZOL S</t>
  </si>
  <si>
    <t>TRONIUM SLIY 40MG</t>
  </si>
  <si>
    <t>TUMS EXTRA TBMS 3 TBO C/8</t>
  </si>
  <si>
    <t>TUMS MENTA TBMS 500MG C/75</t>
  </si>
  <si>
    <t>TYLEX CD CAPS 500-30MG C/30</t>
  </si>
  <si>
    <t>UNAMOL SPOR 1MG/ML 60ML</t>
  </si>
  <si>
    <t>UNIVAL SPOR 1G/5ML 230ML</t>
  </si>
  <si>
    <t>UNIVAL TABL 1G C/40</t>
  </si>
  <si>
    <t>UNOKAVI EMIY 10MG/1ML</t>
  </si>
  <si>
    <t>UNOKAVI EMIY 2MG/0.2ML</t>
  </si>
  <si>
    <t>URSOFALK CAPS 250MG C/50</t>
  </si>
  <si>
    <t>UXICOLIN SLIY 40MG/2ML REF</t>
  </si>
  <si>
    <t>VACUNA</t>
  </si>
  <si>
    <t>VANCOMICINA SLIY 500MG/10ML</t>
  </si>
  <si>
    <t>VANNAIR AERO 160-4.5MCG 120D</t>
  </si>
  <si>
    <t>VASELINE 50G</t>
  </si>
  <si>
    <t>VASO RECOLECTOR 120 ML</t>
  </si>
  <si>
    <t>VASO RECOLECTOR DAMACO</t>
  </si>
  <si>
    <t>VECURONIO SLIY 4MG/ML</t>
  </si>
  <si>
    <t>VENDA ELAS LE ROY 5X5M</t>
  </si>
  <si>
    <t>VENDA ELAS PROTEC 15X5M</t>
  </si>
  <si>
    <t>VENDA ELAS PROTEC 30X5M</t>
  </si>
  <si>
    <t>VENDA ELASTICA 10CMX5M</t>
  </si>
  <si>
    <t>VENDA ELASTOMEDIC LEROY 10CM</t>
  </si>
  <si>
    <t>VENDA ELASTOMEDIC LEROY 15CM</t>
  </si>
  <si>
    <t>VESSEL DUE F CAPS 250MGC/50</t>
  </si>
  <si>
    <t>VITACILINA UNGU TUB 28G</t>
  </si>
  <si>
    <t>VITAFUSIN SLIY 5ML</t>
  </si>
  <si>
    <t>VITAMINA C TBEF 1G C/10</t>
  </si>
  <si>
    <t>VITAMINA E CAPS 400UI C/30</t>
  </si>
  <si>
    <t>VIVITAR TABL 100MG C/30</t>
  </si>
  <si>
    <t>XARELTO TABL 10MG C/10</t>
  </si>
  <si>
    <t>XARELTO TABL 10MG C/30</t>
  </si>
  <si>
    <t>XIOMARA GEL 250 G</t>
  </si>
  <si>
    <t>ZYPLO JARA 600MG/10ML 120ML</t>
  </si>
  <si>
    <t>ZYPLO TABL 60 MG C/10</t>
  </si>
  <si>
    <t>ZYVOXAM SLIY 600MG/300ML</t>
  </si>
  <si>
    <t>ZYVOXAM TABL 600MG C/10</t>
  </si>
  <si>
    <t>AC ACETILSALICILICO TABL LR100</t>
  </si>
  <si>
    <t>ACELER-CO CREM 2-0.1% 15G</t>
  </si>
  <si>
    <t>ACIDO ACETILSALICILICO TBER300</t>
  </si>
  <si>
    <t>ÁCIDO ZOLENDRÓNICO SLIY 4MG/5M</t>
  </si>
  <si>
    <t>ACNI POP BARRA</t>
  </si>
  <si>
    <t>AEROCAMARA PEDIATRICA CHICA</t>
  </si>
  <si>
    <t>AEROCHAMBER SMALL MASK NAR</t>
  </si>
  <si>
    <t>AGUA OXIGENADA SLTP FCO 100ML</t>
  </si>
  <si>
    <t>ALGODON PLISADO 25G</t>
  </si>
  <si>
    <t>AMLODIPINO TABL 5MG C/30</t>
  </si>
  <si>
    <t>AMPICILINA TABL 500MG C/20 AM</t>
  </si>
  <si>
    <t>ANAPSIQUE TABL 25MG (III) C/50</t>
  </si>
  <si>
    <t>ASPIRINA TABL 500 MG C/10</t>
  </si>
  <si>
    <t>AXE FUSION SPRY 150ML</t>
  </si>
  <si>
    <t>BIBERON EVENFLO DREAMS 240ML</t>
  </si>
  <si>
    <t>BIODERMA BARRA JABÓN 150G</t>
  </si>
  <si>
    <t>BIOYETIN SLIY 4000 UI C/6 FCO</t>
  </si>
  <si>
    <t>BONADOXINA TABL 25MG C/25</t>
  </si>
  <si>
    <t>BRONCOLIN PALETA MIEL</t>
  </si>
  <si>
    <t>BUVACAINA SLIY 50MG/10ML</t>
  </si>
  <si>
    <t>CABESTRILLO GRANDE</t>
  </si>
  <si>
    <t>CABESTRILLO MEDIANO</t>
  </si>
  <si>
    <t>CAFIASPIRINA FTE TABL C/24</t>
  </si>
  <si>
    <t>CANESTEN V CRVG 2%  20G</t>
  </si>
  <si>
    <t>CEFTAZIDIMA SLIY 1G/3ML</t>
  </si>
  <si>
    <t>CENTRUM GENDER +50  HOMBRE TAB</t>
  </si>
  <si>
    <t>CENTRUM SILVER+50 TABL C/100</t>
  </si>
  <si>
    <t>CERAVE CREM HIDRATANTE TARRO C</t>
  </si>
  <si>
    <t>CIPROFLOXACINO TABL 500MG C/14</t>
  </si>
  <si>
    <t>CLARITROMICINA TABL 500MG C/10</t>
  </si>
  <si>
    <t>CLAUTER TABL 50MG C/30</t>
  </si>
  <si>
    <t>CLEARBLUE PBA EMB DIGITAL</t>
  </si>
  <si>
    <t>CLORU SODIO SLIY 17.7% 10ML PI</t>
  </si>
  <si>
    <t>COLLARIN CERV BLANDO BLANC MED</t>
  </si>
  <si>
    <t>CONAZOL CREMA 2% TUB 40 G</t>
  </si>
  <si>
    <t>CORREA CLAVICULA GDE BEIGE</t>
  </si>
  <si>
    <t>CURITAS TRANSPIEL C/10</t>
  </si>
  <si>
    <t>DAFLOXEN NAPROXENO SUSP 125MG/</t>
  </si>
  <si>
    <t>DEXAMETASONA 4MG TABL C/10</t>
  </si>
  <si>
    <t>DICLOFENACO  GEL 1.235% 60G</t>
  </si>
  <si>
    <t>DIFENIDOL TABL 25MG C/30</t>
  </si>
  <si>
    <t>DIMEGAN JARA 100MG/100ML 60ML</t>
  </si>
  <si>
    <t>DOBUJECT SLIY 250MG/5ML</t>
  </si>
  <si>
    <t>DOMEBORO PVTP SOBR C/12</t>
  </si>
  <si>
    <t>DORIXINA RELAX TABL125-5MG C20</t>
  </si>
  <si>
    <t>DOXICICLINA CAPS 100MG C/10 AL</t>
  </si>
  <si>
    <t>ELATEC TABL 500MG C/30</t>
  </si>
  <si>
    <t>ENDATAL SLIY 20MG/10ML (II)</t>
  </si>
  <si>
    <t>ENSURE ADV- CHOCOLATE 237ML</t>
  </si>
  <si>
    <t>ENTEREX HPT SOBRE 110G VAINILL</t>
  </si>
  <si>
    <t>ESPIRONOLACTONA TABL 25MG C/20</t>
  </si>
  <si>
    <t>ESPONJA  DAMACO GRANDE</t>
  </si>
  <si>
    <t>ETERNAL CAPS 400MG C/30</t>
  </si>
  <si>
    <t>ETORICOXIB TABL 120MG C/7</t>
  </si>
  <si>
    <t>EUTIROX TABL 50MCG C/50</t>
  </si>
  <si>
    <t>FEBRAX SPOR 2.5-2G/100ML</t>
  </si>
  <si>
    <t>FERULA P/ DEDO TIPO SOMBRILLA</t>
  </si>
  <si>
    <t>FINASTERIDA TABL 5MG C/30 AM</t>
  </si>
  <si>
    <t>FLONORM TABL 200MG C/28</t>
  </si>
  <si>
    <t>FOLIVITAL TABL 0.4MG C/30</t>
  </si>
  <si>
    <t>FOSFOCIL CAPS 500MG C/12</t>
  </si>
  <si>
    <t>FOSFOCIL GU AD GRAN 3G C/1</t>
  </si>
  <si>
    <t>GABAPENTINA CAPS 400 MG C/15</t>
  </si>
  <si>
    <t>GESTAGENO CAPS 200MG C/15</t>
  </si>
  <si>
    <t>GRAMAXIN TABL 500-125MG C/12</t>
  </si>
  <si>
    <t>HALOPERIDOL TAB 5MG C/20</t>
  </si>
  <si>
    <t>HEPA MERZ GRAN 3G C/10</t>
  </si>
  <si>
    <t>HEPA MERZ SLIY 5G/10ML</t>
  </si>
  <si>
    <t>HIDRASEC GRAN SOBR 30MG C/18</t>
  </si>
  <si>
    <t>HIDROXIZINA TABL 10MG C/30</t>
  </si>
  <si>
    <t>HYABAK SLOF 0.15% 10ML</t>
  </si>
  <si>
    <t>IBUPROFENO SPOR INF 2G/100ML C</t>
  </si>
  <si>
    <t>IBUPROFENO TABL 800MG C/10</t>
  </si>
  <si>
    <t>ICADEN CREM 20G</t>
  </si>
  <si>
    <t>INDERALICI TABL 10MG C/50</t>
  </si>
  <si>
    <t>INDERALICI TABL 40MG C/30</t>
  </si>
  <si>
    <t>INDOMETACINA SUPO 100MG C/15</t>
  </si>
  <si>
    <t>INMOVILIZADOR HOMBRO INFANTIL</t>
  </si>
  <si>
    <t>JERINGA BD INSUL 31GX6MM C/10</t>
  </si>
  <si>
    <t>JERINGA PERA HULE LE ROY N4</t>
  </si>
  <si>
    <t>JUGO GUAYABA 1400ML</t>
  </si>
  <si>
    <t>KEPPRA SLIY 500 MG / 5 ML</t>
  </si>
  <si>
    <t>KEPPRA SLIY 500MG / 5ML</t>
  </si>
  <si>
    <t>KETOPROFENO 100MG C/15</t>
  </si>
  <si>
    <t>KITOSCELL GEL TUB 10G</t>
  </si>
  <si>
    <t>KOPTIN AZITROMICINA TABL 500MG</t>
  </si>
  <si>
    <t>LABELLO CLASSIC AZUL TUB 4.8G</t>
  </si>
  <si>
    <t>LACTEOL FORT CAPS 340MG C/28</t>
  </si>
  <si>
    <t>LACTOSA POLVO 200G</t>
  </si>
  <si>
    <t>LEUKOPOR BLANCO 2.5CM X 5M</t>
  </si>
  <si>
    <t>LIDOCAINA SPRY 10% 115ML BUCAL</t>
  </si>
  <si>
    <t>LOCOID CREM 0.1% 30G</t>
  </si>
  <si>
    <t>LOMEXIN CREM 30G 2%</t>
  </si>
  <si>
    <t>LONACTENE RT SLIY 100MCG/ML</t>
  </si>
  <si>
    <t>LYSOMUCIL GRAN 200MG C/30</t>
  </si>
  <si>
    <t>MACROZIT SLIY 500MG/5ML</t>
  </si>
  <si>
    <t>MAGALDRATO/DIMETI GEL SOBRC/10</t>
  </si>
  <si>
    <t>MANGA RODILLA C/BARILLA FLEX M</t>
  </si>
  <si>
    <t>MERTHIOLATE SLTP BCO FCO 60ML</t>
  </si>
  <si>
    <t>MERTHIOLATE SLTP FCO SPRY 60ML</t>
  </si>
  <si>
    <t>METILPREDNISOLONA SPIY 40MG AM</t>
  </si>
  <si>
    <t>MONUROL GRAN 3G SOBRE C/1</t>
  </si>
  <si>
    <t>NAPROXENO-PARACETAMOL SPOR125-</t>
  </si>
  <si>
    <t>NEOMELUBRINA JARA INF 250MG/5M</t>
  </si>
  <si>
    <t>OBAO GARNIER FRESQUISSIMA 65G</t>
  </si>
  <si>
    <t>OBRYDEX SLOF 3MG/1MG/ML</t>
  </si>
  <si>
    <t>OMACOR CAPS 1000MG C/28</t>
  </si>
  <si>
    <t>OVESTIN ESTRIOL OVL C/15</t>
  </si>
  <si>
    <t>PAÑAL ETAPA 6</t>
  </si>
  <si>
    <t>PAÑAL TENA PANT COMFORT CH/M C</t>
  </si>
  <si>
    <t>PASTA LASSAR 30G</t>
  </si>
  <si>
    <t>PASTA LASSAR ANDROMACO BOT 60G</t>
  </si>
  <si>
    <t>PENDIBEN L-A SLIY 1 200 000U/5</t>
  </si>
  <si>
    <t>PEZONERAS DE SILICON MED O GDE</t>
  </si>
  <si>
    <t>PLANTABEN PVOR 3.5-5G C/30</t>
  </si>
  <si>
    <t>PLIDAN COMP 10-125MG C/20</t>
  </si>
  <si>
    <t>PONSTAN TABL 500MG C/15</t>
  </si>
  <si>
    <t>PONTI SLOF 5MG/ML 10ML</t>
  </si>
  <si>
    <t>PREGABALINA CAPS 150MG C/28</t>
  </si>
  <si>
    <t>PROSURE VAINILLA 220ML</t>
  </si>
  <si>
    <t>SERETIDE DISKUS PLOR 50/250MCG</t>
  </si>
  <si>
    <t>SPIRIVA RESPIMAT SLPN 0.226mg</t>
  </si>
  <si>
    <t>TAFIROL FLEX TABL 300-250MG/30</t>
  </si>
  <si>
    <t>TELMISARTAN TABL 40MG C/14 TAB</t>
  </si>
  <si>
    <t>TEOFILINA TABL 100MG LP C/20</t>
  </si>
  <si>
    <t>TERLIPRESINA SLIY 1MG/5ML</t>
  </si>
  <si>
    <t>TIAMINAL B12 50,000 SLIY 10ML</t>
  </si>
  <si>
    <t>TOBILLERA ELAST AJUSTE EN 8 CH</t>
  </si>
  <si>
    <t>TOBREX SLOF 3MG/ML 5ML</t>
  </si>
  <si>
    <t>TRAMADOL TABL 50MG C/10</t>
  </si>
  <si>
    <t>TRIMEBUTINA TABL 200MG C/20</t>
  </si>
  <si>
    <t>TYLEX TABL 750MG C/20</t>
  </si>
  <si>
    <t>ULCODERMA CREM 0.6UI-0.01G 15G</t>
  </si>
  <si>
    <t>VALPROATO DE MAGNESIO TABL 300</t>
  </si>
  <si>
    <t>VENDA ELASTICA ALTA COMPRESION</t>
  </si>
  <si>
    <t>VENOFERRUM SLIY 100 MG/5 ML</t>
  </si>
  <si>
    <t>VICK PAST CEREZA C/20</t>
  </si>
  <si>
    <t>VICTAN COMP 2MG C/30 (II)</t>
  </si>
  <si>
    <t>VITERNUM JARABE 60MG/100ML 140</t>
  </si>
  <si>
    <t>VOLTAREN EMULGEL 12HRS 2.32% 5</t>
  </si>
  <si>
    <t>VORICONAZOL SLIY 200MG/20ML</t>
  </si>
  <si>
    <t>XL-3 TABL C/10</t>
  </si>
  <si>
    <t>ZAPEX TABL 30 MG  C/10</t>
  </si>
  <si>
    <t>ZUFTIL SLIY 0.250MG/5ML (I)</t>
  </si>
  <si>
    <t>ZYPREXA TABL 5MG C/14</t>
  </si>
  <si>
    <t>ACELER CREM 2% 15G</t>
  </si>
  <si>
    <t>ACICLOVIR SLIY 250MG/10ML FA K</t>
  </si>
  <si>
    <t>ACICLOVIR TABL 400MG C/35 AM</t>
  </si>
  <si>
    <t>ACION</t>
  </si>
  <si>
    <t>ADERMA DERMALIBOUR CREM 50ML</t>
  </si>
  <si>
    <t>ALEVIANDUO CAPS 100-300MG C/16</t>
  </si>
  <si>
    <t>ANARA SLOR 7.5MG/ML 20ML</t>
  </si>
  <si>
    <t>ATROVENT 11.22G AERO 10 ML</t>
  </si>
  <si>
    <t>AXE DARK TEMPTATI AEROSOL 90ML</t>
  </si>
  <si>
    <t>BICARBONATO DE SODIO LASA POLV</t>
  </si>
  <si>
    <t>BIOGAIA SLOF 5ML</t>
  </si>
  <si>
    <t>BISOPROLOL TABL 2.5MG C/30</t>
  </si>
  <si>
    <t>C MESSEL ACIDO ASCORBICO 100MG</t>
  </si>
  <si>
    <t>CEFTRIANOL SLIY 1G/3.5ML IM</t>
  </si>
  <si>
    <t>CETAPHIL ANTIBAC JABN BAR 127G</t>
  </si>
  <si>
    <t>CILOCID TABL 5MG C/20</t>
  </si>
  <si>
    <t>CITRACAL+D TABL 315MG/200UI C/</t>
  </si>
  <si>
    <t>CLEXANE SLIY JGPR 80MG/0.8ML</t>
  </si>
  <si>
    <t>CLORANFENICOL SLOF 0.5%15ML AM</t>
  </si>
  <si>
    <t>COLLARIN CERV BLANDO BLANC GDE</t>
  </si>
  <si>
    <t>COMBIGAN-D SLOF 0.2-0.5% 10ML</t>
  </si>
  <si>
    <t>COREGA ULTRA CREM 40G</t>
  </si>
  <si>
    <t>DALIDOME PVTP SOBR 2.2G C/12</t>
  </si>
  <si>
    <t>DOLO NEUROBION RETARD TABLC/20</t>
  </si>
  <si>
    <t>ERGOTRATE TABL 0.2MG C/20 (II)</t>
  </si>
  <si>
    <t>ESPAVEN ENZ TABL 40-130MG C/50</t>
  </si>
  <si>
    <t>ESPAVEN PED SPOR 100MG/ML 30ML</t>
  </si>
  <si>
    <t>ETERNAL E CAPS 400UI C/30</t>
  </si>
  <si>
    <t>ETORICOXIB TAB 90MG C/7</t>
  </si>
  <si>
    <t>FEBRAX SUPOSITORIO 100MG-200MG</t>
  </si>
  <si>
    <t>FERULA TIPO RANA  CHICA DEDO</t>
  </si>
  <si>
    <t>FIXODENT ORIGINAL PASTA ADHESI</t>
  </si>
  <si>
    <t>FLANAX GEL 5.5% TUBO 40G</t>
  </si>
  <si>
    <t>FOSFOCIL SPOR 250 MG/ 5 ML</t>
  </si>
  <si>
    <t>FRISOLAC GOLD HIPOALERGÉNICO P</t>
  </si>
  <si>
    <t>HUMALOG INSULISPRO 100 UI 3ML</t>
  </si>
  <si>
    <t>ITALDERMOL OVUL 600MG C/6</t>
  </si>
  <si>
    <t>IVERMECTINA TABL 6MG C/4</t>
  </si>
  <si>
    <t>JANUVIA COMP 50 MG C/28</t>
  </si>
  <si>
    <t>JERINGA PERA HULE EDIGAR  N1</t>
  </si>
  <si>
    <t>JERINGA PERA HULE LEROY N2</t>
  </si>
  <si>
    <t>LECHE MAG NORMEX  SUSP FCO 180</t>
  </si>
  <si>
    <t>LEVONORGESTREL TABL 0.75 MG C/</t>
  </si>
  <si>
    <t>LONOL CREM 5% TUBO 60G</t>
  </si>
  <si>
    <t>LUBIPROSTONA CAPS 8 MCG C/60</t>
  </si>
  <si>
    <t>LUBRIDERM CREM BOT 120ML SOLAR</t>
  </si>
  <si>
    <t>LUBRIDERM REP INTENS CREM BOT</t>
  </si>
  <si>
    <t>MANZANILLA SLOF 0.25MG FCO15ML</t>
  </si>
  <si>
    <t>MATERNA TABL VITA-MINE C/30</t>
  </si>
  <si>
    <t>MELOX NOCHE SPOR 3.7G FCO 360M</t>
  </si>
  <si>
    <t>MENNEN ACEITE BEBE 50ML</t>
  </si>
  <si>
    <t>MICCIL SLIY 0.5MG/2ML</t>
  </si>
  <si>
    <t>MICONAZOL CREM 2% 20G</t>
  </si>
  <si>
    <t>MIDAZOLAM SLIY 5MG/5ML G(II)</t>
  </si>
  <si>
    <t>MIRTAZAPINA TABL 15MG  C/10</t>
  </si>
  <si>
    <t>MISOPROSTOL TABLETA 200MCG</t>
  </si>
  <si>
    <t>MOXIFLOXACINO TABL 400MG C7 AM</t>
  </si>
  <si>
    <t>NAN 1 PVOR SUPREME PRO 400 G</t>
  </si>
  <si>
    <t>NAN CARE COMFORT PVOR SOBRE 0.</t>
  </si>
  <si>
    <t>NASALUB SLNS FCO C/NEB 30ML</t>
  </si>
  <si>
    <t>NETIRA 0.3% FCO/5ML</t>
  </si>
  <si>
    <t>NEXIUM GRAN  SOBR 10 MG C/28</t>
  </si>
  <si>
    <t>NUCLEO CMP FORT CAPS 5-3MG C30</t>
  </si>
  <si>
    <t>ONDANSETRON TABL 8 MG C/10</t>
  </si>
  <si>
    <t>OSMOROL SLIY 20% 250ML</t>
  </si>
  <si>
    <t>PARACETAMOL-IBUPROFENO TABL 32</t>
  </si>
  <si>
    <t>PEDIALYTE SR 45 FRESA BOTE 500</t>
  </si>
  <si>
    <t>PROCTOACID UNG TUBO 50 G</t>
  </si>
  <si>
    <t>PROPRANOLOL TABL 40 MG C/30</t>
  </si>
  <si>
    <t>PROTEINEX PVOR C/275G</t>
  </si>
  <si>
    <t>PRUDENCE PRES FRESA C/3</t>
  </si>
  <si>
    <t>REDOXON TBER 1G  C/10</t>
  </si>
  <si>
    <t>RISPERIDONA TABL 2MG C/40 AM</t>
  </si>
  <si>
    <t>ROBAX GOLD TABL 500-200MG C/24</t>
  </si>
  <si>
    <t>ROSEL-T TABL 50-3-300MG C/15</t>
  </si>
  <si>
    <t>ROTIGOTINA PARCHE 2MG C/7</t>
  </si>
  <si>
    <t>SENOSIAIN SUPO BEBE C/10</t>
  </si>
  <si>
    <t>SERC TABL 24MG C/30</t>
  </si>
  <si>
    <t>SINTROM TABL 4MG C/30</t>
  </si>
  <si>
    <t>SOLORO 7 PARC 5 MG C/4</t>
  </si>
  <si>
    <t>SOMAZINA SLIY 1000MG/4ML C/5</t>
  </si>
  <si>
    <t>SPIRIVA CAPS 18MCG C/30 CON DO</t>
  </si>
  <si>
    <t>SUSPENSORIO CLINICO MEDIANO</t>
  </si>
  <si>
    <t>TAMIFLU  CAPS 75MG C/10</t>
  </si>
  <si>
    <t>THEALOZ  3% GOTAS FCO/10ML</t>
  </si>
  <si>
    <t>TRAMADOL-PARACETA TABL 37.5-32</t>
  </si>
  <si>
    <t>TREDA TABL 129-280-30MG C/20</t>
  </si>
  <si>
    <t>TRIMETOPRIMA- SULFAMETOXAZOL T</t>
  </si>
  <si>
    <t>TRIMEXAZOL F  TABL 160 MG / 80</t>
  </si>
  <si>
    <t>TYGACIL SLIY 50MG</t>
  </si>
  <si>
    <t>VANTAL BUCOFARINGEO ENJ 36OML</t>
  </si>
  <si>
    <t>VENDA ELAS LE ROY 7.5X5M</t>
  </si>
  <si>
    <t>XELTETRA-M CAPS 100 MG C/12</t>
  </si>
  <si>
    <t>XUZAL GOTAS 5MG/ML 20ML</t>
  </si>
  <si>
    <t>AEROCAMARA INFANTIL MEDIANA</t>
  </si>
  <si>
    <t>AGUA LEVITE JAMAICA 1400ML</t>
  </si>
  <si>
    <t>AGUA LEVITE MANZANA KIWI 1400M</t>
  </si>
  <si>
    <t>ALLEGRA COMP 120MG C/10</t>
  </si>
  <si>
    <t>AMOX/ÁC. CLAV 500/125MG C/10</t>
  </si>
  <si>
    <t>ARGENTAFIL CREM 1% 30G</t>
  </si>
  <si>
    <t>BIOMICS CAPS 400MG C/6</t>
  </si>
  <si>
    <t>BOTA WALKER C/AIRE GRANDE LARG</t>
  </si>
  <si>
    <t>BRIVIACT SLIY 50MG/5ML C/10</t>
  </si>
  <si>
    <t>CABESTRILLO KOHN ADUL</t>
  </si>
  <si>
    <t>CARNOPRIM SLOR 100MG/100ML</t>
  </si>
  <si>
    <t>CEFTRIAXONA SLIY 500MG/2ML IM</t>
  </si>
  <si>
    <t>CINTA ADHESIVA PIEL 2.5CMX5M</t>
  </si>
  <si>
    <t>CORPOTASIN GK SOBRE 4.68G C/10</t>
  </si>
  <si>
    <t>CORPOTASIN LP TABL 1500MG C/30</t>
  </si>
  <si>
    <t>DAGLA TABL 50MG C/30</t>
  </si>
  <si>
    <t>DIACEREINA CAPS 50MG C/30</t>
  </si>
  <si>
    <t>DIANE GRAG 2-0.035MG C/21</t>
  </si>
  <si>
    <t>DICYNONE GRAG 500MG C/20</t>
  </si>
  <si>
    <t>DIGOXINA SLIY 0.5MG/2ML PI</t>
  </si>
  <si>
    <t>DOLO NEUROBION FORTE TABL C/30</t>
  </si>
  <si>
    <t>DOSTEIN CAPS 300MG C/20</t>
  </si>
  <si>
    <t>EXCEDRIN TABL 250-250-65MG C24</t>
  </si>
  <si>
    <t>FEBRAX SUPOSITORIOS 100 MG - 2</t>
  </si>
  <si>
    <t>FENITOINA TABL 100MG C50</t>
  </si>
  <si>
    <t>FERULA DEDO TIPO RANA GRANDE</t>
  </si>
  <si>
    <t>FLAGYL OVUL 500MG C/10</t>
  </si>
  <si>
    <t>FLANAX NAPROXENO 275MG C/20</t>
  </si>
  <si>
    <t>FLANAX TABL 550MG C/12</t>
  </si>
  <si>
    <t>GOLBA PROTECTOR DE LABIOS 2.5G</t>
  </si>
  <si>
    <t>GRIMAL SLOF 2MG/0.25 MG/1ML</t>
  </si>
  <si>
    <t>IBUPROFENO TABL 200MG C/20</t>
  </si>
  <si>
    <t>IMIPRAMINA TABL 25 MG C/20</t>
  </si>
  <si>
    <t>ISOX 3D (2X1) CAPS 100MG C/6</t>
  </si>
  <si>
    <t>JERINGA NIPRO 20ML</t>
  </si>
  <si>
    <t>KETOROLACO/TRAMADOL TBSL 10MG/</t>
  </si>
  <si>
    <t>LEFEBRE SLIY 0.40MG/1ML</t>
  </si>
  <si>
    <t>LORATADINA SLOR 1MG/ML 60ML</t>
  </si>
  <si>
    <t>LUNARIUM CAPS 100/300MG C/14</t>
  </si>
  <si>
    <t>MALLA TUBULAR LE ROY 2 m</t>
  </si>
  <si>
    <t>METFORMINA TABL 500MG C/60</t>
  </si>
  <si>
    <t>MONTELUKAST COMP 10MG C/20</t>
  </si>
  <si>
    <t>MOTILIUM TABL 10MG C/30</t>
  </si>
  <si>
    <t>MYRBETRIC TBLP 50MG C/30</t>
  </si>
  <si>
    <t>NAN 1 PVOR 360G</t>
  </si>
  <si>
    <t>NEPRO HP VAINILLA 237 ML</t>
  </si>
  <si>
    <t>NIVEA SOFTMILK PIEL SECA 100ML</t>
  </si>
  <si>
    <t>OPORTUNA GRAG 0.75MG C/2</t>
  </si>
  <si>
    <t>ORAL B HILO DENTAL SIN CERA</t>
  </si>
  <si>
    <t>PAÑAL ETAPA 2</t>
  </si>
  <si>
    <t>PARACETAMOL-NAPROXENO TABL 275</t>
  </si>
  <si>
    <t>PEDIALYTE SR 30 DURAZNO 500 ML</t>
  </si>
  <si>
    <t>PEDIALYTE SR 30 MANZANA 500 ML</t>
  </si>
  <si>
    <t>PRIDONA TABL 250 MG C/50</t>
  </si>
  <si>
    <t>PROFENID CAPS 100MG C/20</t>
  </si>
  <si>
    <t>PROPAFENONA TABL150MG C/30</t>
  </si>
  <si>
    <t>PROXALIN PLUS TABL 300/250MG C</t>
  </si>
  <si>
    <t>RELVARE SPPN 200-25MCG C/INHAL</t>
  </si>
  <si>
    <t>ROPIVACAINA SLIY 7.5MG/ML 20ML</t>
  </si>
  <si>
    <t>SENOSIAIN SUPO ADULTO C/20</t>
  </si>
  <si>
    <t>SENTAX SLOR 1000 MG / 10 ML C/</t>
  </si>
  <si>
    <t>SOLURAL PED FRESA BOT 300ML</t>
  </si>
  <si>
    <t>SOLURAL PED MANZANA BOT 300ML</t>
  </si>
  <si>
    <t>SOLURAL PED UVA BOT 300ML</t>
  </si>
  <si>
    <t>SULFADIAZINA CREM1% 28 G</t>
  </si>
  <si>
    <t>TELMISA-HIDRO TABL 80-12.5MG C</t>
  </si>
  <si>
    <t>VANTAL BUCOFARINGEO SPRY 40ML</t>
  </si>
  <si>
    <t>VIMPAT SLIY 200MG/20ML</t>
  </si>
  <si>
    <t>ZISUAL-C TUBO C/30 G</t>
  </si>
  <si>
    <t>ZYLOPRIM TABL 100MG C/60</t>
  </si>
  <si>
    <t>AMANTADINA, CLORFENAMINA, PARA</t>
  </si>
  <si>
    <t>AMOXICILINA AC CLAV PED SPOR 2</t>
  </si>
  <si>
    <t>AMPICILINA SPOR 250MG/5ML C/60</t>
  </si>
  <si>
    <t>ANTADONA SLIY 0.5MG/5ML (II)</t>
  </si>
  <si>
    <t>BENZONATATO CAPS 100MG C/20</t>
  </si>
  <si>
    <t>BICARBONATO DE SODIO PURO150G</t>
  </si>
  <si>
    <t>CEFTREX SLIY 1G/10ML IV</t>
  </si>
  <si>
    <t>CETIRIZINA TABL 10MG C/10</t>
  </si>
  <si>
    <t>CLOBESOL CREM 0.05% 30G</t>
  </si>
  <si>
    <t>COMBIVENT RES SLPN 1.68MG 4.5M</t>
  </si>
  <si>
    <t>CUBREBOCA ALTA FILTRACION N95</t>
  </si>
  <si>
    <t>DIMEGAN SLOR 100MG/100ML 30ML</t>
  </si>
  <si>
    <t>DOLO NEUROBION TABL 50MG C/10</t>
  </si>
  <si>
    <t>ELEVIT COMP C/30</t>
  </si>
  <si>
    <t>ESPONJA EXFOLIANTE</t>
  </si>
  <si>
    <t>EZETROL COMP 10MG C/20</t>
  </si>
  <si>
    <t>FLUMIL SPOR GTS 2G-75-75MG</t>
  </si>
  <si>
    <t>GABIROL CAPS 100MG C/14</t>
  </si>
  <si>
    <t>GESLUTIN PERL 200MG C/15</t>
  </si>
  <si>
    <t>ICADEN V OVUL 600MG</t>
  </si>
  <si>
    <t>INDOMETACINA CAPS 25 MG  C/60</t>
  </si>
  <si>
    <t>INMOV HOMBRO PEDIATRICO</t>
  </si>
  <si>
    <t>INMOVILIZADOR DE HOMBRO PEDIÁT</t>
  </si>
  <si>
    <t>LACTEOL FORT PVOR 340 MG C/6</t>
  </si>
  <si>
    <t>LIDOCAINA 5% 35MG UNGU</t>
  </si>
  <si>
    <t>METICORTELONE SLOR 1MG/ML FCO</t>
  </si>
  <si>
    <t>MICCIL TABL 1MG C/20</t>
  </si>
  <si>
    <t>NIMBEX SLIY 10MG/5ML 5ML REF</t>
  </si>
  <si>
    <t>ORAL B HILO DENTAL C/CERA</t>
  </si>
  <si>
    <t>PEDIALYTE SR 30 COCO 500 ML</t>
  </si>
  <si>
    <t>PEMIX TABL 1MG C/25</t>
  </si>
  <si>
    <t>PENTOXIFILINA TBLP 400MG C/30</t>
  </si>
  <si>
    <t>PRE NAN PVOR 400G</t>
  </si>
  <si>
    <t>RHOPHYLAC SLIY JGPR 300MCG/2ML</t>
  </si>
  <si>
    <t>ROSUVASTATINA TABL 20MG C/15</t>
  </si>
  <si>
    <t>SALOFALK SUPO 500MG C/10</t>
  </si>
  <si>
    <t>SOLDRIN OFT 1-3.5G SLOF GTS 10</t>
  </si>
  <si>
    <t>SULFADIAZINA DE PLATA CREM 30G</t>
  </si>
  <si>
    <t>SYMBRYAX CAPS 3/25 MG C/14</t>
  </si>
  <si>
    <t>TIBIOTICO)</t>
  </si>
  <si>
    <t>TRAMADOL CAPS 50 MG C/10</t>
  </si>
  <si>
    <t>0 NUBRENZA PARC 8MG C/14</t>
  </si>
  <si>
    <t>ADENOSINA SLIY 6MG/2ML</t>
  </si>
  <si>
    <t>ADEROGYL SLOR 3ML C/5 AMP</t>
  </si>
  <si>
    <t>AFRIN LUB AD SLNS SPRY 50MG 20</t>
  </si>
  <si>
    <t>AGUA LEVITE PEPINO LIMON1000ML</t>
  </si>
  <si>
    <t>ALZAM TABL 0.25MG C/30</t>
  </si>
  <si>
    <t>AMITIZA CAP 24MCG C/60</t>
  </si>
  <si>
    <t>AMOXICILINA CAPS 500MG C/12</t>
  </si>
  <si>
    <t>ASPIRINA JR TABL 100MG C/60</t>
  </si>
  <si>
    <t>AXE ANARCHY MUJER AERO 150ML</t>
  </si>
  <si>
    <t>BRIVIACT TABL 50MG C/28</t>
  </si>
  <si>
    <t>BROMAZEPAM 3MG CAJA CON 30</t>
  </si>
  <si>
    <t>CALCITRIOL CAPS 0.25MCG C/50</t>
  </si>
  <si>
    <t>CARVEDIOL TABL 25MG C/14</t>
  </si>
  <si>
    <t>CASEC 300G PROTEINA EN POLVO</t>
  </si>
  <si>
    <t>CISAPRIDA TABL 5MG C/30 AM</t>
  </si>
  <si>
    <t>CLOISONE TABL 250MG/25MG C/30</t>
  </si>
  <si>
    <t>CLOPSINE 25MG TABL C/30</t>
  </si>
  <si>
    <t>CLOZAPINA TABLETAS DE 100MG CA</t>
  </si>
  <si>
    <t>COMPLEJO B, TIAMINA.PIRIDOXINA</t>
  </si>
  <si>
    <t>CONCERTA TABL LP 36MG C/30</t>
  </si>
  <si>
    <t>CORTA UÑAS DE LA VEGA MED</t>
  </si>
  <si>
    <t>CYTELIUM SPARY 100ML</t>
  </si>
  <si>
    <t>DORIXINA FLAM TABL 250MG/50MG</t>
  </si>
  <si>
    <t>DURATER COMP 40MG C/10</t>
  </si>
  <si>
    <t>EDARBI CLD TABL 40MG/12.5MG C/</t>
  </si>
  <si>
    <t>ESOMEPRAZOL TABL 40MG C/14</t>
  </si>
  <si>
    <t>FERULA PARA TOBILLO C/AIRE UNI</t>
  </si>
  <si>
    <t>FLONORM  TABL 550MG C/14</t>
  </si>
  <si>
    <t>FLUDROCORTISONA TABL 0.1MG C/1</t>
  </si>
  <si>
    <t>LACTIPAN CAPS AD C/12</t>
  </si>
  <si>
    <t>LAGRICEL PF SLOF 4MG/ML FCO 10</t>
  </si>
  <si>
    <t>LIDOCAINA SPRY 10% 115ML TÓPIC</t>
  </si>
  <si>
    <t>LOZAM 2 MG TABL C/40</t>
  </si>
  <si>
    <t>MAXIPLINA 500MG C/7 TABL</t>
  </si>
  <si>
    <t>MELATONINA TABL 3MG C/60</t>
  </si>
  <si>
    <t>MELOXICAM TABL 7.5MG C/14</t>
  </si>
  <si>
    <t>METILFENIDATO TABL 10MG C/60</t>
  </si>
  <si>
    <t>MINOCICLINA TABL 100MG C/10</t>
  </si>
  <si>
    <t>MISDAPRE RAC TABL 10MG/5MG C/1</t>
  </si>
  <si>
    <t>NUBRENZA PARC 4 MG C/14</t>
  </si>
  <si>
    <t>PANCLASA CAPS 80-80MG C/20</t>
  </si>
  <si>
    <t>PAÑUELOS KLEENEX ANTIVIRA C/14</t>
  </si>
  <si>
    <t>PEGDEN TABL 5 MG C/28</t>
  </si>
  <si>
    <t>PENTASA 1 G SUPO C/14</t>
  </si>
  <si>
    <t>PEZZIL 5 MG TABL C/28</t>
  </si>
  <si>
    <t>PREGABALINA CAP 150MG C/14 AM</t>
  </si>
  <si>
    <t>PRUCALOPRIDA TABL 1MG C/14</t>
  </si>
  <si>
    <t>QUETIAPINA TABL 100MG C/30</t>
  </si>
  <si>
    <t>RIBOTRIPSIN 45000-9000UNF TABL</t>
  </si>
  <si>
    <t>SALOFALK SUPO 1 G C/14</t>
  </si>
  <si>
    <t>TADALAFIL TABL 20MG C/4</t>
  </si>
  <si>
    <t>TERBINAFINA CREMA 1% 20G</t>
  </si>
  <si>
    <t>TIAMINAL B12 TRIV AP CAPS C/30</t>
  </si>
  <si>
    <t>TOCILIZUMAB SLIY 400MG/20ML</t>
  </si>
  <si>
    <t>TREXEN DUO OVUL 100-400MG C/7</t>
  </si>
  <si>
    <t>TRI-VI-SOL SLOR 50ML</t>
  </si>
  <si>
    <t>URIZIA TABL 6MG/0.4MG C/30</t>
  </si>
  <si>
    <t>VENDA ELAS PROTEC 25X5M</t>
  </si>
  <si>
    <t>VIOLETA DE GENCIANA 60ML KAREY</t>
  </si>
  <si>
    <t>ZIR-FOS NC POVR C/30 3G C/U</t>
  </si>
  <si>
    <t>ANESKET SLIY 50MG/ML GRUPO II</t>
  </si>
  <si>
    <t>ARCOXIA COMP 120MG C/7</t>
  </si>
  <si>
    <t>ARCOXIA COMP 60MG C/7</t>
  </si>
  <si>
    <t>AZITROMICINA TABL 500 MG C/3</t>
  </si>
  <si>
    <t>BACTROBAN UNGU 2.0% 15G</t>
  </si>
  <si>
    <t>CABERGOLINA TABL 0.5MG C/2</t>
  </si>
  <si>
    <t>CANESTEN V OVUL 200MG C/3</t>
  </si>
  <si>
    <t>CELESTONE SOLUSPAN HYPAK INY</t>
  </si>
  <si>
    <t>CENTRUM SILVER +50 TABL C/30</t>
  </si>
  <si>
    <t>CETAPHIL JABN BARR 127G</t>
  </si>
  <si>
    <t>CLORANFENICOL UNGUENTO 5MG/1G</t>
  </si>
  <si>
    <t>COLLAR PHILADELPHIA BEIGE CH</t>
  </si>
  <si>
    <t>DICLOXACILINA CAPS 500MG C/12</t>
  </si>
  <si>
    <t>ELCETROLIT 625ML UVA PLAS</t>
  </si>
  <si>
    <t>ELECTROLIT 625ML MZN PLAS</t>
  </si>
  <si>
    <t>FERULA MUÑECA/ANTEBRAZO M</t>
  </si>
  <si>
    <t>FERULA RODILLA C/ARCO UNIVER</t>
  </si>
  <si>
    <t>FURACIN POMA TUB 85G</t>
  </si>
  <si>
    <t>GLUTAPAK 10 PVOR 15G</t>
  </si>
  <si>
    <t>HELISTOP CAPS 0.453 G C/30</t>
  </si>
  <si>
    <t>IRBESARTAN TAB 150MG C/28</t>
  </si>
  <si>
    <t>JANUMET COMP 50MG/850MG C/28</t>
  </si>
  <si>
    <t>LUCEBANOL TABL 30 MG C/30</t>
  </si>
  <si>
    <t>LYRICA TABL 75MG C/14</t>
  </si>
  <si>
    <t>MAGALDRATO, DIMETICONA SPOR 8G</t>
  </si>
  <si>
    <t>MANGA RODILLA C/BARILLA FLEX G</t>
  </si>
  <si>
    <t>METFORMINA TABL  500MG  C/30</t>
  </si>
  <si>
    <t>MOTILIUM SPOR 1MG/ML FCO 60ML</t>
  </si>
  <si>
    <t>MULETA DE ALUMINIO MED</t>
  </si>
  <si>
    <t>NAPROXENO-PARACETAMOL 275/300</t>
  </si>
  <si>
    <t>NEXIUM GRAN PED SOBR 2.5MG C/2</t>
  </si>
  <si>
    <t>NIFEDIPINO TABL  10MG C/20</t>
  </si>
  <si>
    <t>PULMICORT SPPN 0.125MG/ML 2ML</t>
  </si>
  <si>
    <t>RECOVERON NC CRA 40G</t>
  </si>
  <si>
    <t>SIES CAPS 200MG C/20</t>
  </si>
  <si>
    <t>STERIMAR SLNS FCO 100ML</t>
  </si>
  <si>
    <t>SULFATO FERROSO TABL  200MG  C</t>
  </si>
  <si>
    <t>TRAYENTA DUO TABL 2.5/ 850 MG</t>
  </si>
  <si>
    <t>TRIMBOW AERO 100 mcg/6mcg/12.5</t>
  </si>
  <si>
    <t>TRIMEBUTINA TABL 200MG C/30</t>
  </si>
  <si>
    <t>VENDA ELAS LE ROY 25X5M</t>
  </si>
  <si>
    <t>ACETILCISTEINA SLPN 10% 30ML</t>
  </si>
  <si>
    <t>AFRIN LUB INF SLNS 25MG 20ML</t>
  </si>
  <si>
    <t>ALDOMET TABL 250MG C/50</t>
  </si>
  <si>
    <t>ARCALION TABL 200 MG C/20</t>
  </si>
  <si>
    <t>ATROVENT AERO 10ML (11.22G)</t>
  </si>
  <si>
    <t>CICLOFERON CREM TUB 2G</t>
  </si>
  <si>
    <t>COLLAR PHILADELPHIA BEIGE G</t>
  </si>
  <si>
    <t>DENVAR CAPS 400MG C/6</t>
  </si>
  <si>
    <t>DICLOXACILINA SPOR 250MG/5ML 6</t>
  </si>
  <si>
    <t>ELICUIS TABL 2.5 MG C/20</t>
  </si>
  <si>
    <t>ENSURE ADV VAINILLA BOT 237ML</t>
  </si>
  <si>
    <t>ESPAVEN ALCALINO HIDROXIDO ALU</t>
  </si>
  <si>
    <t>ESPONJA BABYDAMACO C/4</t>
  </si>
  <si>
    <t>ETORICOXIB COMP 90 MG C/14</t>
  </si>
  <si>
    <t>FLORATIL PEDI PVOR 200MG C/6</t>
  </si>
  <si>
    <t>FLUCONAZOL TABL 100MG C/10</t>
  </si>
  <si>
    <t>HESTAR SLIY 6% 500ML</t>
  </si>
  <si>
    <t>INOTROPISA SLIY 200MG/5ML</t>
  </si>
  <si>
    <t>LAGRICEL SLOF 4MG/ML AMP 0.5ML</t>
  </si>
  <si>
    <t>LECHE-MAGN NORMEX SUSP 360ML</t>
  </si>
  <si>
    <t>METICEL SLOF 2% 20MG/ML 10ML</t>
  </si>
  <si>
    <t>NEUROFLAX 20MG/4MG SLIY C/3</t>
  </si>
  <si>
    <t>NOVOVARTALON PVOR C/30</t>
  </si>
  <si>
    <t>PAÑAL RN HUGG SUPREME UNISEX C</t>
  </si>
  <si>
    <t>PAÑAL TENA CONFORT GDE C/10</t>
  </si>
  <si>
    <t>ROSUVASTATINA TABL 20MG C/30</t>
  </si>
  <si>
    <t>SEDASIVA 1.25CMX1M</t>
  </si>
  <si>
    <t>SINERGIX TBSL 25-10MG C/10</t>
  </si>
  <si>
    <t>SUPACID SLIY 40MG/10ML</t>
  </si>
  <si>
    <t>SUSPENSORIO CLINICO GRANDE</t>
  </si>
  <si>
    <t>TIAMINAL B12 CAPS  TRIV AP C/3</t>
  </si>
  <si>
    <t>TP OFTENO SLOF 8-50MG 15ML</t>
  </si>
  <si>
    <t>VENDA DE GASA 10CMX5M DIFERENT</t>
  </si>
  <si>
    <t>VITAMINAS A,C,D SOL INFANTIL 1</t>
  </si>
  <si>
    <t>YUREDOL CAPS 10MG,250MG C/30</t>
  </si>
  <si>
    <t>YURELAX CAPS 10MG C/30</t>
  </si>
  <si>
    <t>ZALDIAR 325-37.5 MG C/10</t>
  </si>
  <si>
    <t>ACEITE  ALMEND DULCES 60ML LAS</t>
  </si>
  <si>
    <t>ARTELAC SLOF 3.20MG FCO 10ML</t>
  </si>
  <si>
    <t>ATARAX TABL 25MG C/25</t>
  </si>
  <si>
    <t>BERACTANT SPIY 25MG/ML 8ML</t>
  </si>
  <si>
    <t>BUPIVACAINA-GLUCOSA 15-240MG/3</t>
  </si>
  <si>
    <t>CABERGOLINA TAB 0.5MG C/4</t>
  </si>
  <si>
    <t>CARBAMAZEPINA TABL 200MG C/20</t>
  </si>
  <si>
    <t>CEFUROXIMA SLIY 750MG/5 ML</t>
  </si>
  <si>
    <t>CENTRUM SILVER+50 TABL C/30</t>
  </si>
  <si>
    <t>CETAPHIL JABN BAR LIMP PROF 12</t>
  </si>
  <si>
    <t>ENTEROGERMINA SPOR 4B/5ML C/10</t>
  </si>
  <si>
    <t>FLAGENASE 400 SPOR INF 2.5G</t>
  </si>
  <si>
    <t>FLAGYSTATIN V OVUL 500MG C/10</t>
  </si>
  <si>
    <t>FLEXIVER CMP CAPS 15-215 MG C/</t>
  </si>
  <si>
    <t>FLONORM TABL 200MG C/12</t>
  </si>
  <si>
    <t>GYNOTRAN OVUL 750MG/200MG C/7</t>
  </si>
  <si>
    <t>HIDROCORTISONA-CLORAMFENICOL-B</t>
  </si>
  <si>
    <t>JERINGA PERA HULE ROGER N3</t>
  </si>
  <si>
    <t>KERAL 25MG C/20 TABLETAS</t>
  </si>
  <si>
    <t>KETOPROFENO SLIY 100MG/2ML</t>
  </si>
  <si>
    <t>LEVAMIN SIN ELECTROLITOS SLIY</t>
  </si>
  <si>
    <t>LORATADINA TABL 10MG C/20</t>
  </si>
  <si>
    <t>MAGALDRATO/DIMETI GEL SOBR C/1</t>
  </si>
  <si>
    <t>METAMUCIL NATURAL PVO 210G</t>
  </si>
  <si>
    <t>MILRINONA SLIY 1MG/ML 10ML C/1</t>
  </si>
  <si>
    <t>MILRINONA SLIY 1MG/ML 10ML C/3</t>
  </si>
  <si>
    <t>NEBAPOL UNGU 30G</t>
  </si>
  <si>
    <t>NOVOTIRALTABL100MCG-20MCG C/50</t>
  </si>
  <si>
    <t>NUTRAMIGEN PREMIUM 0-12M ETAPA</t>
  </si>
  <si>
    <t>PAÑAL TENA PANT MUJER GDE C/10</t>
  </si>
  <si>
    <t>PAROXETINA TAB 20MG C/10</t>
  </si>
  <si>
    <t>PK MERK TABL 100MG C/30</t>
  </si>
  <si>
    <t>POSIPEN CAPS 500 MG C/12</t>
  </si>
  <si>
    <t>REDOXON TABL 500MG C/100</t>
  </si>
  <si>
    <t>RHINCORT AQUA 64MCG/DOSIS</t>
  </si>
  <si>
    <t>RISPERDAL TABL 1MG C/20</t>
  </si>
  <si>
    <t>ROFUCAL TABL 25MG C/30</t>
  </si>
  <si>
    <t>TEMPRA TBMS 160MG C/30</t>
  </si>
  <si>
    <t>TOBILLERA ELAST AJUSTE EN 8 M</t>
  </si>
  <si>
    <t>TOPAMAX TABL 25MG C/20</t>
  </si>
  <si>
    <t>TRAMADOL-PARCETAMOL TAB 37.5/3</t>
  </si>
  <si>
    <t>UMBRELLA PLUS SPRY 120G</t>
  </si>
  <si>
    <t>ZENTEL TABL 200MG C/10</t>
  </si>
  <si>
    <t>ACIDO TRANEXANICO SLIY 100MG/M</t>
  </si>
  <si>
    <t>AF VALDECASAS TABL 5MG C/20</t>
  </si>
  <si>
    <t>AGUJA BD UF DESCH 31GX8MM C/10</t>
  </si>
  <si>
    <t>ALGODON PGZ PLISADO 200G</t>
  </si>
  <si>
    <t>ANAPHASE SHAMPOO DUCRAY 200ML</t>
  </si>
  <si>
    <t>ARLUY CAPS 200MG C/30</t>
  </si>
  <si>
    <t>ATARAX TABL 10MG C/30</t>
  </si>
  <si>
    <t>BACTROBAN CREM 2% 15G</t>
  </si>
  <si>
    <t>BENEVENTOL CAP 400MG C/6</t>
  </si>
  <si>
    <t>BETAMETASONA SLIY 8MG/2ML</t>
  </si>
  <si>
    <t>CEFUROXIMA TABL 500MG C/10</t>
  </si>
  <si>
    <t>CETAPHIL HUMECTANTE CREM 250G</t>
  </si>
  <si>
    <t>CITALOPRAM TABL 20MG C/14</t>
  </si>
  <si>
    <t>DACTIL OB COMP 100MG C/30</t>
  </si>
  <si>
    <t>DEFLAZACORT  TABL 6MG C/20</t>
  </si>
  <si>
    <t>DESOWEN LOCIÓN 0.05% 60ML</t>
  </si>
  <si>
    <t>FERULA PULGAR ABD CORTA UNICO</t>
  </si>
  <si>
    <t>FLEXIVER TABL 7.5MG C/14</t>
  </si>
  <si>
    <t>FORXIGA TABL 10 MG C/14</t>
  </si>
  <si>
    <t>GAAP SLOF 0.05MG/ML 3ML</t>
  </si>
  <si>
    <t>GLIBENCLAMIDA TABL 5MG C/50</t>
  </si>
  <si>
    <t>GRANUDOXY TABL 100MG C/15</t>
  </si>
  <si>
    <t>INMUNOGLOBULINA HUMANA NORMAL</t>
  </si>
  <si>
    <t>KETOROLACO TABL SUBL 30 MG C/6</t>
  </si>
  <si>
    <t>MEDIBUTIN TABL 800-10MG C/30</t>
  </si>
  <si>
    <t>MEMANTINA TABLETAS 10 MG C/28</t>
  </si>
  <si>
    <t>METAMUCIL  SOBRE NJA  5.8 G  C</t>
  </si>
  <si>
    <t>METICORTELONE SPOR 1MG/1ML 120</t>
  </si>
  <si>
    <t>OLANZAPINA TABL 10MG C/14</t>
  </si>
  <si>
    <t>OLEODERM CREM BOT 225ML</t>
  </si>
  <si>
    <t>OPERATIVAN SLIY 0.5MG/10ML</t>
  </si>
  <si>
    <t>ORECIL NF SLOT 10-3MG/ML 10M</t>
  </si>
  <si>
    <t>PANTOPRAZOL TABL40MG LP C/14</t>
  </si>
  <si>
    <t>PARACETAMOL JARA 3.2G/100ML 12</t>
  </si>
  <si>
    <t>PEPSANE CAPS 300/4MG C/30</t>
  </si>
  <si>
    <t>PRADAXAR CAPS 110 MG C/30</t>
  </si>
  <si>
    <t>PRIKUL CAPS 75MG C/28</t>
  </si>
  <si>
    <t>PRUDENCE CLÁSICO C/3</t>
  </si>
  <si>
    <t>SALOFALK TABL 500MG C/40</t>
  </si>
  <si>
    <t>SINUBERASE COMP 1 MILLON UFC C</t>
  </si>
  <si>
    <t>SOMNOCAL SLIY 50MG/10ML G(II)</t>
  </si>
  <si>
    <t>TOLTERODINA TABL 2MG C/14</t>
  </si>
  <si>
    <t>VESSEL DUE F SLIY 60MG/2ML C/1</t>
  </si>
  <si>
    <t>YASMIN COMP 3-0.03MG C/21</t>
  </si>
  <si>
    <t>ZINNAT TABL 500MG C/10</t>
  </si>
  <si>
    <t>ZYPREXA SLIY 10MG/2ML IM</t>
  </si>
  <si>
    <t>AEROCHAMBER MEDIUM MASK</t>
  </si>
  <si>
    <t>AFUMIX TABL 37.5-500MG C/4</t>
  </si>
  <si>
    <t>ARIXTRA 2.5 MG/0.5 ML C/2</t>
  </si>
  <si>
    <t>BOOST HIGH PROTEIN FRESA 237ML</t>
  </si>
  <si>
    <t>CISAPRIDA TABL 10MG C/30</t>
  </si>
  <si>
    <t>COLGATE INFANTIL 75ML</t>
  </si>
  <si>
    <t>CREST COMPLETE PSA 100ML</t>
  </si>
  <si>
    <t>CRONOCAPS CAPS 3MG C/30</t>
  </si>
  <si>
    <t>CUBREBOCA C/5</t>
  </si>
  <si>
    <t>DALVEAR JAR 150MG/80MG/100ML 2</t>
  </si>
  <si>
    <t>GLUTAPAK R PVOR 15G</t>
  </si>
  <si>
    <t>HIERRO DEXTRAN SLIY100MG/2ML</t>
  </si>
  <si>
    <t>IBUPROFENO TABL 200 MG C/10</t>
  </si>
  <si>
    <t>ITALDERMOLGASAA CREM 4G C/10</t>
  </si>
  <si>
    <t>JUGO LIMÓN 1000 ML</t>
  </si>
  <si>
    <t>LEVOCETIRIZINA TABL 5MG C/30</t>
  </si>
  <si>
    <t>MELOXICAM/METOCARBAMOL CAPS 15</t>
  </si>
  <si>
    <t>MIYAKO COJIN HULE 40 C/1</t>
  </si>
  <si>
    <t>MODIODAL TABL 200 MG C/14</t>
  </si>
  <si>
    <t>NORFENEFRINA SLOR 1G/100ML 10M</t>
  </si>
  <si>
    <t>PAÑAL ETAPA 3</t>
  </si>
  <si>
    <t>PEDIALYTE SR 30 CEREZA BOTE 50</t>
  </si>
  <si>
    <t>RECOVERON UNGÜ 5% 40G</t>
  </si>
  <si>
    <t>SUSPENSORIO CLINICO CHICO</t>
  </si>
  <si>
    <t>TETRALISAL CAPS 300MG C/20</t>
  </si>
  <si>
    <t>TOBILLERA ELASTICA CON AJUSTE</t>
  </si>
  <si>
    <t>TRANSTEC PARCH 20MG LP C/2</t>
  </si>
  <si>
    <t>TRAZIL OFTENO SLOF 3MG GTO C/1</t>
  </si>
  <si>
    <t>VALIUM TABL 10MG C/20</t>
  </si>
  <si>
    <t>XELODA TABL 500MG C/120</t>
  </si>
  <si>
    <t>ZAXCELL GEL 5G</t>
  </si>
  <si>
    <t>Suma de DESPLAZAMIENTO</t>
  </si>
  <si>
    <t>Total general</t>
  </si>
  <si>
    <t>CONSUMO DIARIO</t>
  </si>
  <si>
    <t>14 DÍAS</t>
  </si>
  <si>
    <t xml:space="preserve">10.5 DÍAS </t>
  </si>
  <si>
    <t>7 DÍAS</t>
  </si>
  <si>
    <t>CONSUMO MENSUAL</t>
  </si>
  <si>
    <t>PUNTO MÁX</t>
  </si>
  <si>
    <t>PUNTO REORDEN</t>
  </si>
  <si>
    <t>PUNTO MIN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</si>
  <si>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</si>
  <si>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</si>
  <si>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</si>
  <si>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</si>
  <si>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</si>
  <si>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</si>
  <si>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</si>
  <si>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</si>
  <si>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 xml:space="preserve"> MAYO</t>
  </si>
  <si>
    <t>JUNIO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</si>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</sst>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Bookman Old Style"/>
      <family val="1"/>
    </font>
    <font>
      <sz val="11"/>
      <color theme="0"/>
      <name val="Calibri"/>
      <family val="2"/>
      <scheme val="minor"/>
    </font>
    <font>
      <b/>
      <sz val="11"/>
      <color theme="0"/>
      <name val="Bookman Old Style"/>
      <family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9" fontId="2" fillId="2" borderId="6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9" fontId="0" fillId="4" borderId="6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9" fontId="0" fillId="3" borderId="6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35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4782.803531944446" createdVersion="8" refreshedVersion="8" minRefreshableVersion="3" recordCount="5182" xr:uid="{00000000-000A-0000-FFFF-FFFF00000000}">
  <cacheSource type="worksheet">
    <worksheetSource ref="A5:C5187" sheet="Hoja1"/>
  </cacheSource>
  <cacheFields count="3">
    <cacheField name="FECHA" numFmtId="0">
      <sharedItems count="11">
        <s v="FEBRERO, 2022"/>
        <s v="OCTUBRE, 2021"/>
        <s v="NOVIEMBRE, 2021"/>
        <s v="DICIEMBRE, 2021"/>
        <s v="ABRIL, 2022"/>
        <s v=" MAYO, 2022"/>
        <s v="JUNIO, 2022"/>
        <s v="JULIO, 2022"/>
        <s v="MARZO, 2022"/>
        <s v="ENERO, 2022"/>
        <s v="SEPTIEMBRE, 2021"/>
      </sharedItems>
    </cacheField>
    <cacheField name="PRODUCTO" numFmtId="0">
      <sharedItems count="1109">
        <s v="0 NUBRENZA PARC 8MG C/14"/>
        <s v="AC ACETILSALICILICO TABL LR100"/>
        <s v="ACEITE  ALMEND DULCES 60ML LAS"/>
        <s v="ACELER CREM 2% 15G"/>
        <s v="ACELER-CO CREM 2-0.1% 15G"/>
        <s v="ACETA DIAZOL TABL 250MG C/30"/>
        <s v="ACETILCISTEINA SLPN 10% 30ML"/>
        <s v="ACETONA JALOMA 60ML"/>
        <s v="ACETONA LASA 55ML"/>
        <s v="ACICLOVIR SLIY 250MG/10ML FA K"/>
        <s v="ACICLOVIR TABL 400MG C/35 AM"/>
        <s v="ACIDO ACETILSALICILICO TBER300"/>
        <s v="ACIDO ASCÓRBICOSLIY1G/10ML"/>
        <s v="ACIDO NALIDIXICO-FENAZO TABL 5"/>
        <s v="ACIDO TRANEXANICO SLIY 1000MG/"/>
        <s v="ACIDO TRANEXANICO SLIY 100MG/M"/>
        <s v="ÁCIDO ZOLENDRÓNICO SLIY 4MG/5M"/>
        <s v="ACION"/>
        <s v="ACNI POP BARRA"/>
        <s v="ACTILYSE SLIY 50MG/50ML C/2"/>
        <s v="ACTRON CAPS 600MG C/10"/>
        <s v="ACTRON PLUS CAPS 400-100MG C/1"/>
        <s v="ADENOSINA SLIY 6MG/2ML"/>
        <s v="ADERMA DERMALIBOUR CREM 50ML"/>
        <s v="ADEROGYL SLOR 3ML C/5 AMP"/>
        <s v="AEROCAMARA INFANTIL MEDIANA"/>
        <s v="AEROCAMARA PEDIATRICA CHICA"/>
        <s v="AEROCAMARA RESPICHAMBER ADULTO"/>
        <s v="AEROCHAMBER MEDIUM MASK"/>
        <s v="AEROCHAMBER SMALL MASK NAR"/>
        <s v="AF ACIDO FOLICO TABL 5MG C/50"/>
        <s v="AF VALDECASAS TABL 5MG C/20"/>
        <s v="AFRIN AD SLNS SPRY 50MG 20ML"/>
        <s v="AFRIN LUB AD SLNS SPRY 50MG 20"/>
        <s v="AFRIN LUB INF SLNS 25MG 20ML"/>
        <s v="AFUMIX TABL 37.5-500MG C/4"/>
        <s v="AGUA INYECTABLE SLIY 10ML PI"/>
        <s v="AGUA LEVITE  LIMON  1000ML"/>
        <s v="AGUA LEVITE FRESA 1000ML"/>
        <s v="AGUA LEVITE FRESA 1400ML"/>
        <s v="AGUA LEVITE JAMAICA 1400ML"/>
        <s v="AGUA LEVITE MANZANA KIWI 1000M"/>
        <s v="AGUA LEVITE MANZANA KIWI 1400M"/>
        <s v="AGUA LEVITE PEPINO LIMON1000ML"/>
        <s v="AGUA LEVITE PIÑA COCO 1000ML"/>
        <s v="AGUA LEVITE PIÑA COCO 1400ML"/>
        <s v="AGUA NATURAL 1000ML"/>
        <s v="AGUA NATURAL 1500ML"/>
        <s v="AGUA NATURAL 600ML"/>
        <s v="AGUA OXIGENADA SLTP FCO 100ML"/>
        <s v="AGUJA BD UF DESCH 31GX8MM C/10"/>
        <s v="AGUJA UF DESECH 32Gx4MM C/10"/>
        <s v="AKIRA SPRY 0.05%  NASAL"/>
        <s v="ALBUMINA HUM SLIY 20% 50ML REF"/>
        <s v="ALBUMINA HUM SLIY 25% 50ML REF"/>
        <s v="ALCOHOL LASA  120ML"/>
        <s v="ALDOMET TABL 250MG C/50"/>
        <s v="ALEVIANDUO CAPS 100-300MG C/16"/>
        <s v="ALGODON PGZ PLISADO 200G"/>
        <s v="ALGODON PLISADO 25G"/>
        <s v="ALIN DEPOT SPIY 4MG/ML 2ML"/>
        <s v="ALKASELTZER TBEF 1.9-1G  C/12"/>
        <s v="ALLEGRA COMP 120MG C/10"/>
        <s v="ALLEGRA TABL 180 MG C/10"/>
        <s v="ALNEX SLIY 1G/2ML"/>
        <s v="ALOPURINOL TABL 300MG C/20"/>
        <s v="ALPRAZOLAM TABL 0.5 MG C/30"/>
        <s v="ALWAYS NOCHES TRANQ C/8 31CM"/>
        <s v="ALZAM TABL 0.25MG C/30"/>
        <s v="AMANTADINA, CLORFENAMINA, PARA"/>
        <s v="AMBROXOLSLOR300MG/100ML120ML"/>
        <s v="AMIKACINA (AMK) SLIY 500MG/2ML"/>
        <s v="AMIKACINA SLIY (AMK) 100MG/2ML"/>
        <s v="AMITIZA CAP 24MCG C/60"/>
        <s v="AMLODIPINO TABL 5MG C/30"/>
        <s v="AMLODIPINO TABLETA 5MG C/10"/>
        <s v="AMOX/ÁC. CLAV 500/125MG C/10"/>
        <s v="AMOX/AC.CLAV 875-125MG C/10 AM"/>
        <s v="AMOXICILINA AC CLAV PED SPOR 2"/>
        <s v="AMOXICILINA CAPS 500MG C/12"/>
        <s v="AMPICILINA SLIY 1G/5ML AMSA"/>
        <s v="AMPICILINA SPOR 250MG/5ML C/60"/>
        <s v="AMPICILINA TABL 500MG C/20 AM"/>
        <s v="ANAPHASE SHAMPOO DUCRAY 200ML"/>
        <s v="ANAPSIQUE TABL 25MG (III) C/50"/>
        <s v="ANARA SLOR 7.5MG/ML 20ML"/>
        <s v="ANARA TABL 5MG C/20"/>
        <s v="ANESKET SLIY 50MG/ML GRUPO II"/>
        <s v="ANGIOPOHL SLIY 1MG/ML 50ML"/>
        <s v="ANGIOTROFIN GEL 2% 60G"/>
        <s v="ANGIOTROFIN TABL 30MG C/30"/>
        <s v="ANTADONA SLIY 0.5MG/5ML (II)"/>
        <s v="ANTIFLUDES CAPS 50-300MG C/24"/>
        <s v="ARCALION TABL 200 MG C/20"/>
        <s v="ARCOXIA COMP 120MG C/7"/>
        <s v="ARCOXIA COMP 60MG C/7"/>
        <s v="ARGENTAFIL CREM 1% 30G"/>
        <s v="ARIXTRA 2.5 MG/0.5 ML C/2"/>
        <s v="ARLUY CAPS 200MG C/30"/>
        <s v="ARTELAC SLOF 3.20MG FCO 10ML"/>
        <s v="ARTERINA SLIY 20 UI/1ML"/>
        <s v="ASOFLON-DUO CPLP 0.5-0.4MG C/3"/>
        <s v="ASPIRINA JR TABL 100MG C/60"/>
        <s v="ASPIRINA PROTEC TABL 100MG C/2"/>
        <s v="ASPIRINA TABL 500 MG C/10"/>
        <s v="ATARAX TABL 10MG C/30"/>
        <s v="ATARAX TABL 25MG C/25"/>
        <s v="ATEMPERATOR TABL 200MG C/40"/>
        <s v="ATORVASTATINA TABL 20MG C/10"/>
        <s v="ATORVASTATINA TABL 40MG C10 AM"/>
        <s v="ATROPINA SLIY 1MG/1ML"/>
        <s v="ATROVENT 11.22G AERO 10 ML"/>
        <s v="ATROVENT AERO 10ML (11.22G)"/>
        <s v="AUTRIN TABL 600MG C/36"/>
        <s v="AVAMYS  2A SPNS 27.5MCG/50MCL"/>
        <s v="AVAPENA SLIY 20MG/2ML"/>
        <s v="AXE ANARCHY MUJER AERO 150ML"/>
        <s v="AXE DARK TEMPTATI AEROSOL 90ML"/>
        <s v="AXE FUSION SPRY 150ML"/>
        <s v="AZITROMICINA TABL 500 MG C/3"/>
        <s v="BACTROBAN CREM 2% 15G"/>
        <s v="BACTROBAN UNGU 2.0% 15G"/>
        <s v="BAÑO COLOIDE PVTP SOBR 90G"/>
        <s v="BARMICIL CMP CREMA C/40G"/>
        <s v="BEDOYECTA TRI SLIY 2ML C/5"/>
        <s v="BENADRYL JARA 250MG 120 ML"/>
        <s v="BENADRYL TABL 25 MG C/24"/>
        <s v="BENEDORM TABL 5 MG C/20"/>
        <s v="BENEDORM TBSL 3 MG C/40"/>
        <s v="BENEVENTOL CAP 400MG C/6"/>
        <s v="BENZONATATO CAPS 100MG C/20"/>
        <s v="BEPANTHEN POM 5%  TUB 30G"/>
        <s v="BERACTANT SPIY 25MG/ML 8ML"/>
        <s v="BETAMETASONA SLIY 8MG/2ML"/>
        <s v="BEXIDENT ENCIAS ENJ 0.12% 250M"/>
        <s v="BEZAFIBRATO TABL 200MG C/30 NV"/>
        <s v="BIBERON EVENFLO DREAMS 120ML"/>
        <s v="BIBERON EVENFLO DREAMS 240ML"/>
        <s v="BICAR SODIO SLIY 7.5% 10ML PI"/>
        <s v="BICAR SODIO SLIY 7.5% 50ML PI"/>
        <s v="BICARBONATO DE SODIO LASA POLV"/>
        <s v="BICARBONATO DE SODIO PURO150G"/>
        <s v="BIODERMA BARRA JABÓN 150G"/>
        <s v="BIOGAIA SLOF 5ML"/>
        <s v="BIOMICS CAPS 400MG C/6"/>
        <s v="BIOYETIN SLIY 4000 UI C/6 FCO"/>
        <s v="BISOPROLOL TABL 2.5MG C/30"/>
        <s v="BOLENTAX JGPR 80MG/0.8ML"/>
        <s v="BOLENTAX SLIY 20MG/0.2ML"/>
        <s v="BOLENTAX SLIY 40MG/0.4ML"/>
        <s v="BOLENTAX SLIYJGPR60MG/0.6ML"/>
        <s v="BONADOXINA TABL 25MG C/25"/>
        <s v="BOOST HIGH PROTEIN FRESA 237ML"/>
        <s v="BOOST HIGH PROTEIN VAIN 237ML"/>
        <s v="BOOST ORIGINAL CHOC 237ML"/>
        <s v="BOOST ORIGINAL VAIN 237ML"/>
        <s v="BOTA WALKER  MEDIANA LARGA"/>
        <s v="BOTA WALKER C/AIRE GRANDE LARG"/>
        <s v="BRAXAN TABL 200MG C/20"/>
        <s v="BRIVIACT SLIY 50MG/5ML C/10"/>
        <s v="BRIVIACT TABL 50MG C/28"/>
        <s v="BROMAZEPAM 3MG CAJA CON 30"/>
        <s v="BROMIPRA-SALB SPPN 0.5/2.5MG"/>
        <s v="BROMURO PINAVERIO TABL 100MG C"/>
        <s v="BRONCOLIN PALETA MIEL"/>
        <s v="BRONCOLIN PALETA MIEL EUCAL"/>
        <s v="BUDESONIDA SPPN 0.500MG/2ML"/>
        <s v="BUFIGEN SLIY 10MG/1ML G(II)"/>
        <s v="BUPIVACAINA-GLUCOSA 15-240MG/3"/>
        <s v="BUPRENORFINA SLIY 0.3MG/1ML AM"/>
        <s v="BUTILHIOSCINA  TABL 10MG C/10"/>
        <s v="BUTILHIOSCINA SLIY 20MG/ML"/>
        <s v="BUTIL-METAMIZOL GRAG10MG-250MG"/>
        <s v="BUVACAINA SLIY 50MG/10ML"/>
        <s v="C MESSEL ACIDO ASCORBICO 100MG"/>
        <s v="CABERGOLINA TAB 0.5MG C/4"/>
        <s v="CABERGOLINA TABL 0.5MG C/2"/>
        <s v="CABESTRILLO CHICO"/>
        <s v="CABESTRILLO GRANDE"/>
        <s v="CABESTRILLO KOHN ADUL"/>
        <s v="CABESTRILLO MEDIANO"/>
        <s v="CAFIASPIRINA FTE TABL C/24"/>
        <s v="CAFIASPIRINA TABL500-30MG C/40"/>
        <s v="CALCITRIOL CAPS 0.25MCG C/50"/>
        <s v="CALCORT TABL 30MG C/10"/>
        <s v="CANESTEN V CRVG 2%  20G"/>
        <s v="CANESTEN V OVUL 200MG C/3"/>
        <s v="CAPTOPRIL TABL 25MG C/30"/>
        <s v="CARBAMAZEPINA TABL 200MG C/20"/>
        <s v="CARNOPRIM SLOR 100MG/100ML"/>
        <s v="CARVEDIOL TABL 25MG C/14"/>
        <s v="CASEC 100G PROTEINA EN POLVO"/>
        <s v="CASEC 300G PROTEINA EN POLVO"/>
        <s v="CASPOFUNGINA SLIY 50MG"/>
        <s v="CEFALEXINA CAPS 500MG C/20"/>
        <s v="CEFALOTINA SLIY 1G/5ML IV"/>
        <s v="CEFEPIMA SLIY 1G/10ML"/>
        <s v="CEFOTAXIMA 1G/4ML IV"/>
        <s v="CEFTAZIDIMA SLIY 1G/3ML"/>
        <s v="CEFTREX SLIY 1G/10ML IV"/>
        <s v="CEFTRIANOL SLIY 1G/3.5ML IM"/>
        <s v="CEFTRIAXONA SLIY 1G/10ML IV"/>
        <s v="CEFTRIAXONA SLIY 1G/3.5ML IM"/>
        <s v="CEFTRIAXONA SLIY 500MG/2ML IM"/>
        <s v="CEFUROXIMA SLIY 750MG/5 ML"/>
        <s v="CEFUROXIMA TABL 500MG C/10"/>
        <s v="CELEBREX  CAPS 200MG C/10"/>
        <s v="CELECOXIB  CAPS 200MG C/10"/>
        <s v="CELESTAMINE NS TABL5-0.25MG/10"/>
        <s v="CELESTONE SOLUSPAN HYPAK INY"/>
        <s v="CENTRUM GENDER +50  HOMBRE TAB"/>
        <s v="CENTRUM GENDER MUJER TABL C/60"/>
        <s v="CENTRUM SILVER +50 TABL C/30"/>
        <s v="CENTRUM SILVER+50 TABL C/100"/>
        <s v="CENTRUM SILVER+50 TABL C/30"/>
        <s v="CENTRUM SILVER+50 TABL C/60"/>
        <s v="CEPILLO COLGATE  TRIPLE ACCION"/>
        <s v="CERAVE CREM HIDRATANTE TARRO C"/>
        <s v="CETAPHIL ANTIBAC JABN BAR 127G"/>
        <s v="CETAPHIL HUMECTANTE CREM 250G"/>
        <s v="CETAPHIL JABN BAR LIMP PROF 12"/>
        <s v="CETAPHIL JABN BARR 127G"/>
        <s v="CETIRIZINA TABL 10MG C/10"/>
        <s v="CETOLÁN TABL 630MG C/100"/>
        <s v="CHUPON ROSMAR"/>
        <s v="CICALFATE CREMA C/40ML"/>
        <s v="CICLOFERON CREM TUB 2G"/>
        <s v="CILOCID TABL 5MG C/20"/>
        <s v="CINARIZINA TABL 75MG C/60"/>
        <s v="CINITAPRIDA COMP. 1MG C/25 AM"/>
        <s v="CINTA ADHESIVA PIEL 2.5CMX5M"/>
        <s v="CIPROBAC SLIY 400MG/200ML PI"/>
        <s v="CIPROFLOXACINO TABL 500MG C/14"/>
        <s v="CIRTRENT SLIY 150MG/3ML"/>
        <s v="CISAPRIDA TABL 10MG C/30"/>
        <s v="CISAPRIDA TABL 5MG C/30 AM"/>
        <s v="CISATRACURIO SLIY 2MG/ML 5ML"/>
        <s v="CITALOPRAM TABL 20MG C/14"/>
        <s v="CITRACAL+D TABL 315MG/200UI C/"/>
        <s v="CLARITROMICINA TABL 500MG C/10"/>
        <s v="CLAUTER TABL 50MG C/30"/>
        <s v="CLEARBLUE PBA EMB DIGITAL"/>
        <s v="CLEXANE SLIY JGPR 80MG/0.8ML"/>
        <s v="CLINDAMICINA CAPS 300MG C/16"/>
        <s v="CLINDAMICINA SLIY 600MG/4ML AM"/>
        <s v="CLOBESOL CREM 0.05% 30G"/>
        <s v="CLOISONE TABL 250MG/25MG C/30"/>
        <s v="CLONIXIN LISI SLIY100MG/2ML AM"/>
        <s v="CLONIXINATO DE LISINA TABL 250"/>
        <s v="CLONIXINATOLISINA TABL125MG C/"/>
        <s v="CLOPIDOGREL TAB 75MG C/14"/>
        <s v="CLOPSINE 25MG TABL C/30"/>
        <s v="CLORANFENICOL SLOF 0.5%15ML AM"/>
        <s v="CLORANFENICOL SLOF 5MG 15ML"/>
        <s v="CLORANFENICOL UNGUENTO 5MG/1G"/>
        <s v="CLORTALIDONA TABL 50MG C/20"/>
        <s v="CLORU POTASIO SLIY 1.49G/5ML P"/>
        <s v="CLORU SODIO SLIY 17.7% 10ML PI"/>
        <s v="CLOZAPINA TABLETAS DE 100MG CA"/>
        <s v="COLCHIQUIM TABL 1 MG C/20"/>
        <s v="COLGATE INFANTIL 75ML"/>
        <s v="COLISTIMETATO SLIY 150MG"/>
        <s v="COLLAR PHILADELPHIA BEIGE CH"/>
        <s v="COLLAR PHILADELPHIA BEIGE G"/>
        <s v="COLLAR PHILADELPHIA BEIGE MED"/>
        <s v="COLLARIN CERV BLANDO BLANC GDE"/>
        <s v="COLLARIN CERV BLANDO BLANC MED"/>
        <s v="COLLARIN CERV BLANDO CHICO"/>
        <s v="COMBIGAN-D SLOF 0.2-0.5% 10ML"/>
        <s v="COMBIVENT RES SLPN 1.68MG 4.5M"/>
        <s v="COMPLEJO B, TIAMINA.PIRIDOXINA"/>
        <s v="CONAZOL CREMA 2% TUB 40 G"/>
        <s v="CONCERTA TABL LP 36MG C/30"/>
        <s v="CONTUMAX PVOR SOBR 17G C/15"/>
        <s v="COPINAR TABL100MG C/28"/>
        <s v="COREGA ULTRA CREM 40G"/>
        <s v="CORPOTASIN GK SOBRE 4.68G C/10"/>
        <s v="CORPOTASIN LP TABL 1500MG C/30"/>
        <s v="CORREA CLAVICULA GDE BEIGE"/>
        <s v="CORTA UÑAS DE LA VEGA MED"/>
        <s v="CORTA UÑAS ROGER"/>
        <s v="CORTADOR DE TABLETAS EZYDOSE"/>
        <s v="CREMA D COLGATE MFP  22ML"/>
        <s v="CREMA SMILES COLGATE 75ML"/>
        <s v="CREST COMPLETE PSA 100ML"/>
        <s v="CRONOCAPS CAPS 3MG C/30"/>
        <s v="CUBREBOCA 3 PLIEGUES"/>
        <s v="CUBREBOCA ALTA FILTRACION N95"/>
        <s v="CUBREBOCA C/5"/>
        <s v="CUBREBOCA N95"/>
        <s v="CURITAS TRANSPIEL C/10"/>
        <s v="CYTELIUM SPARY 100ML"/>
        <s v="DACTIL OB COMP 100MG C/30"/>
        <s v="DAFLON TABL 500MG C/20"/>
        <s v="DAFLOXEN NAPROXENO SUSP 125MG/"/>
        <s v="DAGLA TABL 50MG C/30"/>
        <s v="DALIDOME PVTP SOBR 2.2G C/12"/>
        <s v="DALVEAR JAR 150MG/80MG/100ML 2"/>
        <s v="DANZEN TABL 10MG C/20"/>
        <s v="DEFLAZACORT  TABL 6MG C/20"/>
        <s v="DENVAR CAPS 400MG C/6"/>
        <s v="DESLORATADINA TABL 5MG C/10"/>
        <s v="DESOWEN LOCIÓN 0.05% 60ML"/>
        <s v="DEXAMETASONA 4MG TABL C/10"/>
        <s v="DEXAMETASONA 6MG TABL C/10"/>
        <s v="DEXAMETASONA SLIY 8MG/2ML"/>
        <s v="DEXERYL CREM TUB 250G"/>
        <s v="DEXIVANT TABL LR 60MG C/7"/>
        <s v="DEXKETOPROFENO TABL 25MG C10"/>
        <s v="DEXLANSOPRAZOL CAPS 60 MG C/14"/>
        <s v="DEXMEDETOMIDINA SLIY 200MCG/2M"/>
        <s v="DIACEREINA CAPS 50MG C/30"/>
        <s v="DIANE GRAG 2-0.035MG C/21"/>
        <s v="DICLOFENACO  GEL 1.235% 60G"/>
        <s v="DICLOFENACO SLIY 75MG/3ML AM"/>
        <s v="DICLOFENACO TABL 100MG C/20"/>
        <s v="DICLOXACILINA CAPS 500MG C/12"/>
        <s v="DICLOXACILINA CAPS 500MG/20"/>
        <s v="DICLOXACILINA SPOR 250MG/5ML 6"/>
        <s v="DICYNONE GRAG 500MG C/20"/>
        <s v="DICYNONE SLIY 250MG 2ML"/>
        <s v="DIFENHIDRAMINA SLIY 100MG/10ML"/>
        <s v="DIFENIDOL SLIY 40MG/2ML AM"/>
        <s v="DIFENIDOL TABL 25MG C/30"/>
        <s v="DIGOXINA SLIY 0.5MG/2ML PI"/>
        <s v="DIMEGAN JARA 100MG/100ML 60ML"/>
        <s v="DIMEGAN SLOR 100MG/100ML 30ML"/>
        <s v="DIOSMINA-HESPIRIDINA 450MG/50M"/>
        <s v="DIPRIVAN SLIY 200MG/20ML"/>
        <s v="DIPROSPAN HYPAK SPIY7MG/ML"/>
        <s v="DOBUJECT SLIY 250MG/5ML"/>
        <s v="DOLO NEUROBION FORTE TABL C/30"/>
        <s v="DOLO NEUROBION RETARD TABLC/20"/>
        <s v="DOLO NEUROBION TABL 50MG C/10"/>
        <s v="DOMEBORO PVTP SOBR C/12"/>
        <s v="DORIXINA FLAM TABL 250MG/50MG"/>
        <s v="DORIXINA RELAX TABL125-5MG C20"/>
        <s v="DORSAL TABL 15-200MG C/7"/>
        <s v="DOSIER 5MG TAB C/30"/>
        <s v="DOSTEIN CAPS 300MG C/20"/>
        <s v="DOXICICLINA CAPS 100MG C/10 AL"/>
        <s v="DOXIUM CAPS 500MG C/30"/>
        <s v="DULOXETINA TBLP 30MG C/7"/>
        <s v="DUODERM EXTRA THIN APO 10X10"/>
        <s v="DUODERM PARC 10X10 CGF"/>
        <s v="DURATER COMP 40MG C/10"/>
        <s v="DYNASTAT SLIY 40MG/2ML"/>
        <s v="EDARBI CLD TABL 40MG/12.5MG C/"/>
        <s v="ELATEC TABL 500MG C/30"/>
        <s v="ELCETROLIT 625ML UVA PLAS"/>
        <s v="ELECTROLIT 625ML MZN PLAS"/>
        <s v="ELEVIT COMP C/30"/>
        <s v="ELICUIS TABL 2.5 MG C/20"/>
        <s v="ELICUIS TABL 5 MG C/20"/>
        <s v="ENALAPRIL TABL 10MG C/30"/>
        <s v="ENDATAL SLIY 20MG/10ML (II)"/>
        <s v="ENSURE ADV- CHOCOLATE 237ML"/>
        <s v="ENSURE ADV VAINILLA BOT 237ML"/>
        <s v="ENSURE NET  FRESA BOT 237 ML"/>
        <s v="ENSURE NET CHOC BOT 237 ML"/>
        <s v="ENSURE NET VAINILLA BOT 237 ML"/>
        <s v="ENTEREX HPT SOBRE 110G VAINILL"/>
        <s v="ENTEREX IMX SOBRE 131G VAINILL"/>
        <s v="ENTEROGERMINA SPOR 2B/5ML C/20"/>
        <s v="ENTEROGERMINA SPOR 4B/5ML C/10"/>
        <s v="ERGOMETRINA SLIY 0.2MG/ML REFR"/>
        <s v="ERGOTRATE TABL 0.2MG C/20 (II)"/>
        <s v="ERITROPOYETINA SLIY 4000U/ML"/>
        <s v="ERITROPOYETINA SLIY2000U/M REF"/>
        <s v="ESCITALOPRAM TABL 10MG C/14 AM"/>
        <s v="ESMISEN TABL 5-50-50-1MG C/10"/>
        <s v="ESOMEPRAZOL TABL 40MG C/14"/>
        <s v="ESPAVEN ALCALINO HIDROXIDO ALU"/>
        <s v="ESPAVEN ENZ TABL 40-130MG C/50"/>
        <s v="ESPAVEN PED SPOR 100MG/ML 30ML"/>
        <s v="ESPIRONOLACTONA TABL 25MG C/20"/>
        <s v="ESPIRONOLACTONA TABL 25MG C/30"/>
        <s v="ESPONJA  DAMACO CHICO"/>
        <s v="ESPONJA  DAMACO GRANDE"/>
        <s v="ESPONJA BABYDAMACO C/4"/>
        <s v="ESPONJA EXFOLIANTE"/>
        <s v="ESTERICIDE SOL ANTISEP 60ML"/>
        <s v="ETERNAL CAPS 400MG C/30"/>
        <s v="ETERNAL E CAPS 400UI C/30"/>
        <s v="ETORICOXIB COMP 90 MG C/14"/>
        <s v="ETORICOXIB COMP 90MG C/7"/>
        <s v="ETORICOXIB TAB 90MG C/7"/>
        <s v="ETORICOXIB TABL 120MG C/7"/>
        <s v="EUTIROX TABL 100MCG C/50"/>
        <s v="EUTIROX TABL 25MCG C/50"/>
        <s v="EUTIROX TABL 50MCG C/50"/>
        <s v="EVOCS SLIY 500MG/100ML"/>
        <s v="EVOCS SLIY 750MG/150ML"/>
        <s v="EXCEDRIN TABL 250-250-65MG C24"/>
        <s v="EXFORGE HCT 10MG/320MG/25MG C/"/>
        <s v="EZETROL COMP 10MG C/20"/>
        <s v="FEBRAX SPOR 2.5-2G/100ML"/>
        <s v="FEBRAX SUPOSITORIO 100MG-200MG"/>
        <s v="FEBRAX SUPOSITORIOS 100 MG - 2"/>
        <s v="FENATEN SLIY 250MG/5ML"/>
        <s v="FENAZOPIRIDINA TABL 100MG C/20"/>
        <s v="FENITOINA TABL 100MG C50"/>
        <s v="FENTANILO SLIY 0.5MG/10ML"/>
        <s v="FERULA DEDO TIPO RANA GRANDE"/>
        <s v="FERULA DEDO TIPO RANA MED"/>
        <s v="FERULA MUÑECA/ANTEBRAZO M"/>
        <s v="FERULA P/ DEDO TIPO SOMBRILLA"/>
        <s v="FERULA PARA TOBILLO C/AIRE UNI"/>
        <s v="FERULA PULGAR ABD CORTA UNICO"/>
        <s v="FERULA RODILLA C/ARCO UNIVER"/>
        <s v="FERULA RODILLA TRIPANEL UNIV"/>
        <s v="FERULA TIPO RANA  CHICA DEDO"/>
        <s v="FERVAL TABL 200MG C/50"/>
        <s v="FINASTERIDA TABL 5MG C/30 AM"/>
        <s v="FIRAC TABL125MG C/10"/>
        <s v="FIXODENT ORIGINAL PASTA ADHESI"/>
        <s v="FLAGENASE 400 SPOR INF 2.5G"/>
        <s v="FLAGYL OVUL 500MG C/10"/>
        <s v="FLAGYSTATIN V OVUL 500MG C/10"/>
        <s v="FLANAX GEL 5.5% TUBO 40G"/>
        <s v="FLANAX NAPROXENO 275MG C/20"/>
        <s v="FLANAX TABL 550MG C/12"/>
        <s v="FLARICEL CAPS 90 MG  LP C/14"/>
        <s v="FLEXIVER CAPS 15-215MG C/20"/>
        <s v="FLEXIVER CMP CAPS 15-215 MG C/"/>
        <s v="FLEXIVER TABL 7.5MG C/14"/>
        <s v="FLONORM  TABL 550MG C/14"/>
        <s v="FLONORM TABL 200MG C/12"/>
        <s v="FLONORM TABL 200MG C/28"/>
        <s v="FLORATIL PEDI PVOR 200MG C/6"/>
        <s v="FLUCONAZOL CAPS 150MG C/1 AM"/>
        <s v="FLUCONAZOL SLIY 100MG/50ML"/>
        <s v="FLUCONAZOL TABL 100MG C/10"/>
        <s v="FLUDROCORTISONA TABL 0.1MG C/1"/>
        <s v="FLUMIL SPOR GTS 2G-75-75MG"/>
        <s v="FLUONING SLIY 750MG/150ML PI"/>
        <s v="FLUOXETINA TABL20MG C/14 AM"/>
        <s v="FOLIVITAL TABL 0.4MG C/30"/>
        <s v="FORXIGA TABL 10 MG C/14"/>
        <s v="FOSFANEMA SLRC 133ML"/>
        <s v="FOSFATO POTASIO SLIY 10ML PI"/>
        <s v="FOSFOCIL CAPS 500MG C/12"/>
        <s v="FOSFOCIL GU AD GRAN 3G C/1"/>
        <s v="FOSFOCIL SPOR 250 MG/ 5 ML"/>
        <s v="FRISOLAC GOLD HIPOALERGÉNICO P"/>
        <s v="FURACIN POMA TUB 85G"/>
        <s v="FUROSEMIDA TABL 40MG C/20"/>
        <s v="GAAP SLOF 0.05MG/ML 3ML"/>
        <s v="GABAPENTINA CAPS 300MG C/15"/>
        <s v="GABAPENTINA CAPS 400 MG C/15"/>
        <s v="GABIROL CAPS 100MG C/14"/>
        <s v="GASA ESTERIL LE ROY 10X10 C/10"/>
        <s v="GASOMETRIA CARTUCHO C/1REF"/>
        <s v="GENTAMICINA SLIY 160MG/2ML AMS"/>
        <s v="GESLUTIN PERL 200MG C/15"/>
        <s v="GESTAGENO CAPS 200MG C/15"/>
        <s v="GLIBENCLAMIDA TABL 5MG C/50"/>
        <s v="GLUCERNA SR NET 237ML FRESA"/>
        <s v="GLUCERNA SR NET 237ML VAINILLA"/>
        <s v="GLUCERNA SR NET CHOC BOT 237ML"/>
        <s v="GLUCONATO CALCIO SLIY 10% 10ML"/>
        <s v="GLUTAPAK 10 PVOR 15G"/>
        <s v="GLUTAPAK R PVOR 15G"/>
        <s v="GOLBA PROTECTOR DE LABIOS 2.5G"/>
        <s v="GRAMAXIN TABL 500-125MG C/12"/>
        <s v="GRANUDOXY TABL 100MG C/15"/>
        <s v="GRATEN SLIY 10MG/10ML"/>
        <s v="GRATEN SLIY 2.5MG/2.5ML SI AMP"/>
        <s v="GRIMAL SLOF 2MG/0.25 MG/1ML"/>
        <s v="GYNOTRAN OVUL 750MG/200MG C/7"/>
        <s v="HALDOL SLOR 2MG/ML  30ML"/>
        <s v="HALOPERIDOL SLIY 5MG/ML PI"/>
        <s v="HALOPERIDOL TAB 5MG C/20"/>
        <s v="HEAD &amp; SHOULDER SPHO SOBR 10ML"/>
        <s v="HELISTOP CAPS 0.453 G C/30"/>
        <s v="HENEXAL SLIY 20MG/2ML"/>
        <s v="HEPA MERZ GRAN 3G C/10"/>
        <s v="HEPA MERZ SLIY 5G/10ML"/>
        <s v="HESTAR SLIY 6% 500ML"/>
        <s v="HIDRASEC CAPS 100MG C/9"/>
        <s v="HIDRASEC GRAN SOBR 10MG C/18"/>
        <s v="HIDRASEC GRAN SOBR 30MG C/18"/>
        <s v="HIDROCLOROTIAZIDATABL25MC/20"/>
        <s v="HIDROCORTISONA SLIY 500MG/5ML"/>
        <s v="HIDROCORTISONA-CLORAMFENICOL-B"/>
        <s v="HIDROCORTISONASLIY100MG/2ML PI"/>
        <s v="HIDROXIZINA TABL 10MG C/30"/>
        <s v="HIERRO DEXTRAN SLIY100MG/2ML"/>
        <s v="HIPROMELOSA SLOF 0.5% 10ML"/>
        <s v="HISTOFIL TABL DISPERSABLE 4000"/>
        <s v="HUMALOG INSULISPRO 100 UI 3ML"/>
        <s v="HUMYLUB PF OFTENO SLOF 10ML"/>
        <s v="HYABAK SLOF 0.15% 10ML"/>
        <s v="IBUPROFENO SPOR INF 2G/100ML C"/>
        <s v="IBUPROFENO TABL 200 MG C/10"/>
        <s v="IBUPROFENO TABL 200MG C/20"/>
        <s v="IBUPROFENO TABL 400MG C/10"/>
        <s v="IBUPROFENO TABL 600MG C/10"/>
        <s v="IBUPROFENO TABL 800MG C/10"/>
        <s v="ICADEN CREM 20G"/>
        <s v="ICADEN V OVUL 600MG"/>
        <s v="IMIPENEM-CILASTATINA SLIY 500-"/>
        <s v="IMIPRAMINA TABL 25 MG C/20"/>
        <s v="INDAMID SLIY 300MG/2ML"/>
        <s v="INDERALICI TABL 10MG C/50"/>
        <s v="INDERALICI TABL 40MG C/30"/>
        <s v="INDOMETACINA CAPS 25 MG  C/60"/>
        <s v="INDOMETACINA SUPO 100MG C/15"/>
        <s v="INHEPAR SLIY 10,000 UI 10ML"/>
        <s v="INHEPAR SLIY 50,000 UI  10ML"/>
        <s v="INMOV HOMBRO PEDIATRICO"/>
        <s v="INMOVILIZADOR DE HOMBRO PEDIÁT"/>
        <s v="INMOVILIZADOR HOMBRO INFANTIL"/>
        <s v="INMOVILIZADOR HOMBRO UNIV"/>
        <s v="INMUNOGLOBULINA HUMANA NORMAL"/>
        <s v="INOTROPISA SLIY 200MG/5ML"/>
        <s v="INSPI-FLO INSPIROMETRO"/>
        <s v="INSUL HUMANA NPH SLIY 100UI/ML"/>
        <s v="INSUL HUMANA RAP SLIY 100UI/ML"/>
        <s v="INVANZ SLIY 1G/3.2ML"/>
        <s v="IPRIKENE PVOR 3G C/10 SOBR"/>
        <s v="IRBESARTAN TAB 150MG C/28"/>
        <s v="ISOX 3D (2X1) CAPS 100MG C/6"/>
        <s v="ITALDERMOL CREM 30G"/>
        <s v="ITALDERMOL G CREM 30G"/>
        <s v="ITALDERMOL GASAS CREM 4G C/3"/>
        <s v="ITALDERMOL OVUL 600MG C/6"/>
        <s v="ITALDERMOLGASAA CREM 4G C/10"/>
        <s v="IVERMECTINA TABL 6MG C/4"/>
        <s v="JABON GRISI NEUTRO 100G"/>
        <s v="JANUMET COMP 50MG/850MG C/28"/>
        <s v="JANUVIA COMP 50 MG C/28"/>
        <s v="JERINGA BD INSUL 31GX6MM C/10"/>
        <s v="JERINGA NIPRO 10ML VERDE 21X32"/>
        <s v="JERINGA NIPRO 20ML"/>
        <s v="JERINGA NIPRO 5ML VERDE 21GX31"/>
        <s v="JERINGA PERA HULE EDIGAR  N1"/>
        <s v="JERINGA PERA HULE EDIGAR N2"/>
        <s v="JERINGA PERA HULE LE ROY N4"/>
        <s v="JERINGA PERA HULE LEROY N2"/>
        <s v="JERINGA PERA HULE ROGER N1"/>
        <s v="JERINGA PERA HULE ROGER N3"/>
        <s v="JOHNSONS BABY SHAMPOO 200ML"/>
        <s v="JUGO DE FRESA 1000ML"/>
        <s v="JUGO DE GUANABANA 1000ML"/>
        <s v="JUGO DE PIÑA ALFALFA 1400ML"/>
        <s v="JUGO DE UVA 1000ML"/>
        <s v="JUGO GUAYABA 1000ML"/>
        <s v="JUGO GUAYABA 1400ML"/>
        <s v="JUGO JAMAICA 1500ML"/>
        <s v="JUGO LIMÓN 1000 ML"/>
        <s v="JUGO NARANJADA 1000ML"/>
        <s v="JUGO PIÑA 1000ML"/>
        <s v="JUGO PIÑA 1400 ML L"/>
        <s v="JUGO TAMARINDO 1000ML"/>
        <s v="KEPPRA SLIY 500 MG / 5 ML"/>
        <s v="KEPPRA SLIY 500MG / 5ML"/>
        <s v="KERAL 25MG C/20 TABLETAS"/>
        <s v="KERAL TABL 25MG C/10"/>
        <s v="KETOPROFENO 100MG C/15"/>
        <s v="KETOPROFENO CAPS 100MG C/15"/>
        <s v="KETOPROFENO SLIY 100MG/2ML"/>
        <s v="KETOROLACO SLIY 30MG/ML AM"/>
        <s v="KETOROLACO TAB SUBL 30MG C/4"/>
        <s v="KETOROLACO TABL 10MG C/10"/>
        <s v="KETOROLACO TABL SUBL 30 MG C/6"/>
        <s v="KETOROLACO/TRAMADOL TBSL 10MG/"/>
        <s v="KISIKA TABL 30 MG C/10"/>
        <s v="KITOSCELL GEL TUB 10G"/>
        <s v="KLARICID IV SLIY 500MG/10ML"/>
        <s v="KODEL JARA 160/200 MG FCO/200"/>
        <s v="KOPTIN AZITROMICINA TABL 500MG"/>
        <s v="KOTEX UNIKA TLLS NOC ALAS C/10"/>
        <s v="KRIADEX SLOR 2.5MG/ML 10ML II"/>
        <s v="LABELLO CEREZA TUB 4.8G"/>
        <s v="LABELLO CLASSIC AZUL TUB 4.8G"/>
        <s v="LACTEOL FORT CAPS 340MG C/28"/>
        <s v="LACTEOL FORT PVOR 340 MG C/6"/>
        <s v="LACTIPAN CAPS AD C/12"/>
        <s v="LACTOSA POLVO 200G"/>
        <s v="LACTOSA POLVO 250G"/>
        <s v="LACTULAX JARA 10G/15ML 125ML"/>
        <s v="LAGRICEL PF SLOF 4MG/ML FCO 10"/>
        <s v="LAGRICEL SLOF 4MG/ML AMP 0.5ML"/>
        <s v="LANTUS SOLOSTAR CCHO 1 3ML REF"/>
        <s v="LAS Y GRAGE"/>
        <s v="LASA GEL ANTIBACTERIAL 120ML"/>
        <s v="LECHE MAG NORMEX  SUSP FCO 180"/>
        <s v="LECHE-MAGN NORMEX SUSP 360ML"/>
        <s v="LEFEBRE SLIY 0.40MG/1ML"/>
        <s v="LEUKOPOR BLANCO 1.25CM X 5M"/>
        <s v="LEUKOPOR BLANCO 2.5CM X 5M"/>
        <s v="LEVAMIN SIN ELECTROLITOS SLIY"/>
        <s v="LEVETIRACETAM TABL 500MG C/60"/>
        <s v="LEVOCETIRIZINA TABL 5MG C/10"/>
        <s v="LEVOCETIRIZINA TABL 5MG C/30"/>
        <s v="LEVODROPROPIZINA SLOR 600MG 12"/>
        <s v="LEVOFLOXACINO  TABL 750MG C/7"/>
        <s v="LEVOFLOXACINO TABL500MG C/7 AM"/>
        <s v="LEVONORGESTREL TABL 0.75 MG C/"/>
        <s v="LEVOSIMENDAN SLIY 2.5MG/ML"/>
        <s v="LIBERTRIM SII COMP 200-75MG/24"/>
        <s v="LIBERTRIM SII COMP100-37.5 /20"/>
        <s v="LIBERTRIM SLIY 50MG/5ML"/>
        <s v="LIBERTRIM TABL 100MG C/20"/>
        <s v="LIDOCAINA 5% 35MG UNGU"/>
        <s v="LIDOCAINA SPRY 10% 115ML BUCAL"/>
        <s v="LIDOCAINA SPRY 10% 115ML TÓPIC"/>
        <s v="LOCOID CREM 0.1% 30G"/>
        <s v="LOGICOS)"/>
        <s v="LOMEXIN CREM 30G 2%"/>
        <s v="LONACTENE RT SLIY 100MCG/ML"/>
        <s v="LONOL CREM 5% TUBO 60G"/>
        <s v="LOPERAMIDA TABL 2MG C/12"/>
        <s v="LOPRESOR R TBLP 95 MG FCO/30 T"/>
        <s v="LORATADINA SLOR 1MG/ML 60ML"/>
        <s v="LORATADINA TABL 10MG C/10"/>
        <s v="LORATADINA TABL 10MG C/20"/>
        <s v="LOSARTAN TABL 50 MG C/30"/>
        <s v="LOSARTAN-HCT GRAG 50-12.5MG C/"/>
        <s v="LOZAM 2 MG TABL C/40"/>
        <s v="LOZAM TABL 1 MG C/40"/>
        <s v="LUBIPROSTONA CAPS 8 MCG C/60"/>
        <s v="LUBRIDERM CREM BOT 120ML SOLAR"/>
        <s v="LUBRIDERM REP INTENS 200ML"/>
        <s v="LUBRIDERM REP INTENS CREM BOT"/>
        <s v="LUCEBANOL TABL 30 MG C/30"/>
        <s v="LUNARIUM CAPS 100/300MG C/14"/>
        <s v="LYRICA TABL 75MG C/14"/>
        <s v="LYSOMUCIL GRAN 200MG C/30"/>
        <s v="LYSOMUCIL TBER 600MG C/20"/>
        <s v="MACROZIT SLIY 500MG/5ML"/>
        <s v="MAGALDRATO, DIMETICONA SPOR 8G"/>
        <s v="MAGALDRATO/DIMETI GEL SOBR C/1"/>
        <s v="MAGALDRATO/DIMETI GEL SOBRC/10"/>
        <s v="MALIVAL CAPS 25MG C/30"/>
        <s v="MALLA TUBULAR LE ROY 2 m"/>
        <s v="MANGA RODILLA C/BARILLA FLEX G"/>
        <s v="MANGA RODILLA C/BARILLA FLEX M"/>
        <s v="MANZANILLA SLOF 0.25MG FCO15ML"/>
        <s v="MATERNA TABL VITA-MINE C/30"/>
        <s v="MAXIPLINA 500MG C/7 TABL"/>
        <s v="MECLISON TABL 25MG/50MG C/20"/>
        <s v="MEDIA PROTED ANTIEMB CH LARGA"/>
        <s v="MEDIA PROTED ANTIEMB GDE LARGA"/>
        <s v="MEDIA PROTED ANTIEMB MED LARGA"/>
        <s v="MEDIBUTIN TABL 800-10MG C/30"/>
        <s v="MELATONINA TABL 3MG C/60"/>
        <s v="MELOX NOCHE SPOR 3.7G FCO 360M"/>
        <s v="MELOX PLUS CZA SPOR 3.7G FCO 3"/>
        <s v="MELOX PLUS TABLETA MS CZA C/30"/>
        <s v="MELOXICAM TABL 15MG C/10"/>
        <s v="MELOXICAM TABL 7.5MG C/14"/>
        <s v="MELOXICAM/METOCARBAMOL CAPS 15"/>
        <s v="MELOXI-METOCAR TABL 7.5-215MG/"/>
        <s v="MEMANTINA TABL 10MG C/30"/>
        <s v="MEMANTINA TABLETAS 10 MG C/28"/>
        <s v="MENNEN ACEITE BEBE 50ML"/>
        <s v="MEPRIZINA SLIY 1G/2ML"/>
        <s v="MEROPENEM SLIY 1G/20ML PI"/>
        <s v="MERTHIOLATE SLTP BCO FCO 60ML"/>
        <s v="MERTHIOLATE SLTP FCO SPRY 60ML"/>
        <s v="METAMIZOL SODICO TABL 500MG C/"/>
        <s v="METAMUCIL  SOBRE NJA  5.8 G  C"/>
        <s v="METAMUCIL NATURAL PVO 210G"/>
        <s v="METAMUCIL PVOR FCO 174G NARANJ"/>
        <s v="METEOSPASMYL CAPS 60-300MG C20"/>
        <s v="METFORMINA TABL  500MG  C/30"/>
        <s v="METFORMINA TABL 500MG C/30"/>
        <s v="METFORMINA TABL 500MG C/60"/>
        <s v="METFORMINA TABL 850MG C/30"/>
        <s v="METICEL SLOF 2% 20MG/ML 10ML"/>
        <s v="METICORTELONE SLOR 1MG/ML FCO"/>
        <s v="METICORTELONE SPOR 1MG/1ML 120"/>
        <s v="METICORTEN TABL 20MG C/30"/>
        <s v="METILFENIDATO TABL 10MG C/60"/>
        <s v="METILPREDNISOLONA SPIY 40MG AM"/>
        <s v="METILPREDNISOLONASLIY500MG/8ML"/>
        <s v="METOCLOPRAMIDA TABL 10MG C/20"/>
        <s v="METOPROLOL TABL 100MG C/20"/>
        <s v="METOTREXATO TABL 2.5 MG C/50"/>
        <s v="METRONIDAZOL TABL 500MG C/30"/>
        <s v="MEXSANA PVTP 160G"/>
        <s v="MICCIL SLIY 0.5MG/2ML"/>
        <s v="MICCIL TABL 1MG C/20"/>
        <s v="MICONAZOL CREM 2% 20G"/>
        <s v="MICRODACYN 60 SPRY 120ML"/>
        <s v="MICROLAX SPRC 90MG/9MG/ML C/4"/>
        <s v="MIDAZOLAM  SLIY 15MG/3ML G(II)"/>
        <s v="MIDAZOLAM SLIY 5MG/5ML G(II)"/>
        <s v="MILRINONA SLIY 1MG/ML 10ML C/1"/>
        <s v="MILRINONA SLIY 1MG/ML 10ML C/3"/>
        <s v="MINIPRES TABLETA 1MG C/30"/>
        <s v="MINOCICLINA TABL 100MG C/10"/>
        <s v="MIRTAZAPINA TABL 15MG  C/10"/>
        <s v="MISDAPRE RAC TABL 10MG/5MG C/1"/>
        <s v="MISOPROSTOL TABLETA 200MCG"/>
        <s v="MISTAN TAB 90MG C/14"/>
        <s v="MIYAKO COJIN HULE 40 C/1"/>
        <s v="MODIODAL TABL 200 MG C/14"/>
        <s v="MONTELUKAST COMP 10MG C/20"/>
        <s v="MONTELUKAST COMP 5MG C/30"/>
        <s v="MONUROL GRAN 3G SOBRE C/1"/>
        <s v="MOTILIUM SPOR 1MG/ML FCO 60ML"/>
        <s v="MOTILIUM TABL 10MG C/30"/>
        <s v="MOTRIN SPOR INF 2G/100ML 120ML"/>
        <s v="MOTRIN SPOR PED 40MG/ML 15ML"/>
        <s v="MOVITREM TAB 245/200MG C/30"/>
        <s v="MOXIFLOXACINO TABL 400MG C7 AM"/>
        <s v="MULETA DE ALUMINIO MED"/>
        <s v="MUPIROCINA 2% UNGU 15G"/>
        <s v="MYRBETRIC TBLP 50MG C/30"/>
        <s v="NAFAZOLINA SLOF 1MG/ML 15ML AM"/>
        <s v="NAN 1 PVOR 360G"/>
        <s v="NAN 1 PVOR SUPREME PRO 400 G"/>
        <s v="NAN CARE COMFORT PVOR SOBRE 0."/>
        <s v="NAPROXENO SODICO TABL 550MG C/"/>
        <s v="NAPROXENO-PARACETAMOL 275/300"/>
        <s v="NAPROXENO-PARACETAMOL SPOR125-"/>
        <s v="NASALUB SLNS FCO C/NEB 30ML"/>
        <s v="NEBAPOL UNGU 30G"/>
        <s v="NEOMELUBRINA JARA INF 250MG/5M"/>
        <s v="NEOSPORIN DERMICO UNGU 30G"/>
        <s v="NEPRO HP VAINILLA 237 ML"/>
        <s v="NETIRA 0.3% FCO/5ML"/>
        <s v="NEURALIN SLIY AMP-1+ AMP2 3ML"/>
        <s v="NEUROFLAX 20MG/4MG SLIY C/3"/>
        <s v="NEXIUM GRAN  SOBR 10 MG C/28"/>
        <s v="NEXIUM GRAN PED SOBR 2.5MG C/2"/>
        <s v="NEXIUM IV SLIY 40 MG C/1"/>
        <s v="NEXIUM MUPS TABL 40MG C/7"/>
        <s v="NIFEDIPINO TABL  10MG C/20"/>
        <s v="NIFEDIPINO TABL LP 30MG C/30"/>
        <s v="NIMBEX SLIY 10MG/5ML 5ML REF"/>
        <s v="NISTATINA SPOR 24ML"/>
        <s v="NITROFURANTOINA CAPS 100MG C/4"/>
        <s v="NIVEA SOFTMILK PIEL SECA 100ML"/>
        <s v="NOREPINEFRINA SLIY 4MG/4ML"/>
        <s v="NORFENEFRINA SLOR 1G/100ML 10M"/>
        <s v="NORVAS TABL 10MG C/20"/>
        <s v="NOVOLEXIN CAPS 40MG C/14"/>
        <s v="NOVOLEXIN CAPS 40MG C/7"/>
        <s v="NOVOTIRALTABL100MCG-20MCG C/50"/>
        <s v="NOVOVARTALON PVOR C/30"/>
        <s v="NUBRENZA PARC 4 MG C/14"/>
        <s v="NUCLEO CMP FORT CAPS 5-3MG C30"/>
        <s v="NULYTELY PVOR LIMA-LIMÓN 110.1"/>
        <s v="NUTRAMIGEN PREMIUM 0-12M ETAPA"/>
        <s v="OBAO GARNIER FRESQUISSIMA 65G"/>
        <s v="OBRYDEX SLOF 3MG/1MG/ML"/>
        <s v="OLANZAPINA TABL 10MG C/14"/>
        <s v="OLANZAPINA TABL 5MG C/14"/>
        <s v="OLEODERM CREM BOT 225ML"/>
        <s v="OLICLINOMEL TRICAMARA NA 7 2LT"/>
        <s v="OLIMEL TRICAMARA NA 7 1LT"/>
        <s v="OLMESARTAN MEDOXOMILO"/>
        <s v="OLUMIANT TABL 4 MG C/28 T"/>
        <s v="OMACOR CAPS 1000MG C/28"/>
        <s v="OMEPRAZOL CAPS 20MG C/14"/>
        <s v="OMEPRAZOL SLIY 40MG/10ML AM"/>
        <s v="ONDANSETRON SLIY 8MG/4ML"/>
        <s v="ONDANSETRON SLIY 8MG/4ML INTRA"/>
        <s v="ONDANSETRON TABL 8 MG C/10"/>
        <s v="ONDANSETRON TABL 8MG C/10"/>
        <s v="OPERATIVAN SLIY 0.5MG/10ML"/>
        <s v="OPORTUNA GRAG 0.75MG C/2"/>
        <s v="ORAL B ENJ GINGIV FCO 350ML"/>
        <s v="ORAL B HILO DENTAL C/CERA"/>
        <s v="ORAL B HILO DENTAL SIN CERA"/>
        <s v="ORECIL NF SLOT 10-3MG/ML 10M"/>
        <s v="OSMOROL SLIY 20% 250ML"/>
        <s v="OTROZOL SLIY 500MG/100ML"/>
        <s v="OVESTIN ESTRIOL OVL C/15"/>
        <s v="OXITOPISA SLIY  5UI/1ML REF"/>
        <s v="PANCLASA CAPS 80-80MG C/20"/>
        <s v="PANTOPRAZOL TABL 20MG C/7 AM"/>
        <s v="PANTOPRAZOL TABL 40MG C/14"/>
        <s v="PANTOPRAZOL TABL40MG LP C/14"/>
        <s v="PAÑAL ETAPA 2"/>
        <s v="PAÑAL ETAPA 3"/>
        <s v="PAÑAL ETAPA 5"/>
        <s v="PAÑAL ETAPA 6"/>
        <s v="PAÑAL ETAPA 7"/>
        <s v="PAÑAL RN HUGG SUPREME UNISEX C"/>
        <s v="PAÑAL TENA CONFORT GDE C/10"/>
        <s v="PAÑAL TENA PANT COMFORT CH/M C"/>
        <s v="PAÑAL TENA PANT MUJER GDE C/10"/>
        <s v="PAÑUELOS KLEENEX ANTIVIRA C/14"/>
        <s v="PAÑUELOS KLEENEX BOLSILLO C/14"/>
        <s v="PAPEL HIGIENICO ROLLO F"/>
        <s v="PARACETAMOL JARA 3.2G/100ML 12"/>
        <s v="PARACETAMOL SLIY 1G/100ML"/>
        <s v="PARACETAMOL TABL 500MG C/10"/>
        <s v="PARACETAMOL TABL 750MG C/10"/>
        <s v="PARACETAMOL-IBUPROFENO TABL 32"/>
        <s v="PARACETAMOL-NAPROXENO TABL 275"/>
        <s v="PAROXETINA TAB 20MG C/10"/>
        <s v="PASTA LASSAR 30G"/>
        <s v="PASTA LASSAR ANDROMACO BOT 60G"/>
        <s v="PEDIALYTE SR 30 CEREZA BOTE 50"/>
        <s v="PEDIALYTE SR 30 COCO 500 ML"/>
        <s v="PEDIALYTE SR 30 DURAZNO 500 ML"/>
        <s v="PEDIALYTE SR 30 MANZANA 500 ML"/>
        <s v="PEDIALYTE SR 45 FRESA BOTE 500"/>
        <s v="PEDIALYTE SR 60 FRESA BOTE 500"/>
        <s v="PEDIALYTE SR 60 MANZANA BOTE 5"/>
        <s v="PEDIALYTE SR 60 UVA BOTE 500ML"/>
        <s v="PEGDEN TABL 5 MG C/28"/>
        <s v="PEMIX GRAN SOBR 1MG C/30"/>
        <s v="PEMIX TABL 1MG C/25"/>
        <s v="PENDIBEN L-A SLIY 1 200 000U/5"/>
        <s v="PENTASA 1 G SUPO C/14"/>
        <s v="PENTOXIFILINA TBLP 400MG C/30"/>
        <s v="PEPSANE CAPS 300/4MG C/30"/>
        <s v="PEPSANE GEL 3G/4MG C/14"/>
        <s v="PEPTOBISMOL SPOR  118ML CZA"/>
        <s v="PEPTOBISMOL SUSP 118ML CZA"/>
        <s v="PEPTOBISMOL TBMS C/12"/>
        <s v="PERIOXIDIN ENJUAGUE BUCAL 200M"/>
        <s v="PEZONERAS DE SILICON MED O GDE"/>
        <s v="PEZZIL 5 MG TABL C/28"/>
        <s v="PHLEBODIA COMP 600MG C/15"/>
        <s v="PINADRINA SLIY 1MG/ML"/>
        <s v="PIPERACICLINA/TAZOBACTAM SLIY"/>
        <s v="PISACAINA EPIN SLIY 2% 50ML"/>
        <s v="PISACAINA SLIY 1% 50ML"/>
        <s v="PISACAINA SLIY 2% 10ML"/>
        <s v="PISACAINA SLIY 2% 50ML"/>
        <s v="PISALPRA TABL 0.25MG C/30 (II)"/>
        <s v="PIXIRIV SLIY 400MG/250ML"/>
        <s v="PK MERK TABL 100MG C/30"/>
        <s v="PLANTABEN PVOR 3.5-5G C/30"/>
        <s v="PLANTAGO  PVOR  400G"/>
        <s v="PLIDAN COMP 10-125MG C/20"/>
        <s v="PONSTAN TABL 500MG C/15"/>
        <s v="PONTI SLOF 5MG/ML 10ML"/>
        <s v="POSIPEN CAPS 500 MG C/12"/>
        <s v="PRADAXAR CAPS 110 MG C/30"/>
        <s v="PRAMOTIL SLIY 10MG/2ML"/>
        <s v="PRAZOLAN SLIY 40MG/10ML"/>
        <s v="PRE NAN PVOR 400G"/>
        <s v="PREDNISONA TABL 50MG C/20"/>
        <s v="PREDNISONA TABL 5MG C/20"/>
        <s v="PREGABALINA CAP 150MG C/14 AM"/>
        <s v="PREGABALINA CAP 75MG C/14 AM"/>
        <s v="PREGABALINA CAPS 150MG C/28"/>
        <s v="PREGABALINA CAPS 75MG C/28 AM"/>
        <s v="PRIDONA TABL 250 MG C/50"/>
        <s v="PRIKUL CAPS 50MG C/28"/>
        <s v="PRIKUL CAPS 75MG C/28"/>
        <s v="PROCTOACID UNG TUBO 50 G"/>
        <s v="PROFENID CAPS 100MG C/20"/>
        <s v="PROFENID IM SLIY 100MG/2ML"/>
        <s v="PROFENID IV SLIY 100MG/2ML"/>
        <s v="PROPAFENONA TABL150MG C/30"/>
        <s v="PROPOFOL EMIY 200MG/20ML"/>
        <s v="PROPRANOLOL TABL 40 MG C/30"/>
        <s v="PROSTIGMINE SLIY 0.5MG/ML"/>
        <s v="PROSURE VAINILLA 220ML"/>
        <s v="PROTEINEX PVOR 275G"/>
        <s v="PROTEINEX PVOR C/275G"/>
        <s v="PROVERA TABL 5MG C/24"/>
        <s v="PROXALIN PLUS TABL 300/250MG C"/>
        <s v="PRUCALOPRIDA TABL 1MG C/14"/>
        <s v="PRUDENCE CLÁSICO C/3"/>
        <s v="PRUDENCE PRES FRESA C/3"/>
        <s v="PRUEBAS CUTANEAS"/>
        <s v="PULMICORT SPPN 0.125MG/ML 2ML"/>
        <s v="PULMOCARE LIQ 237ML VNLLA LATA"/>
        <s v="QUADRIDERM NF CREM 25G"/>
        <s v="QUETIAPINA TABL 100MG C/30"/>
        <s v="QUETIAPINA TABL 25MG C/30"/>
        <s v="RACEPINEPHRINE S2 SLPN 2.25% R"/>
        <s v="RASTRILLO C/2"/>
        <s v="RASTRILLO GILLETTE"/>
        <s v="RECOVERON NC CRA 40G"/>
        <s v="RECOVERON UNGÜ 5% 40G"/>
        <s v="REDOXON AOX TBEF 100MG-10MG-40"/>
        <s v="REDOXON TABL 500MG C/100"/>
        <s v="REDOXON TBER 1G  C/10"/>
        <s v="RELACUM  SLIY 50MG/10ML G(II)"/>
        <s v="RELAZEPAM SLIY 10MG/2ML II"/>
        <s v="RELVARE SPPN 200-25MCG C/INHAL"/>
        <s v="RENEGY SLIY 500MG/10ML C/1"/>
        <s v="RESOTRANS TABL 2MG C/14"/>
        <s v="RETIN-A CREM 0.025% 40G"/>
        <s v="RHINCORT AQUA 64MCG/DOSIS"/>
        <s v="RHOPHYLAC SLIY JGPR 300MCG/2ML"/>
        <s v="RIBOTRIPSIN 45000-9000UNF TABL"/>
        <s v="RIFOCYNA SPRY 1G 20ML"/>
        <s v="RINELON SPNS SPRY 0.05% 18ML"/>
        <s v="RIOPAN GEL SOBR 8-1G C/10"/>
        <s v="RIOPAN GEL SOBR 8-1G C/20"/>
        <s v="RIOPAN SPOR 8-1G FCO 250ML"/>
        <s v="RISPERDAL TABL 1MG C/20"/>
        <s v="RISPERIDONA TABL 2MG C/40 AM"/>
        <s v="ROBAX GOLD TABL 500-200MG C/24"/>
        <s v="ROCURONIOSLIY 50MG/5ML"/>
        <s v="ROFUCAL TABL 25MG C/30"/>
        <s v="ROPIVACAINA SLIY 7.5MG/ML 20ML"/>
        <s v="ROSEL-T TABL 50-3-300MG C/15"/>
        <s v="ROSUVASTATINA TABL 20MG C/15"/>
        <s v="ROSUVASTATINA TABL 20MG C/30"/>
        <s v="ROTIGOTINA PARCHE 2MG C/7"/>
        <s v="SAL UVAS PICOT SOBR C/10"/>
        <s v="SALBUTAMOL AERO 100MCG 200D FH"/>
        <s v="SALOFALK SUPO 1 G C/14"/>
        <s v="SALOFALK SUPO 500MG C/10"/>
        <s v="SALOFALK TABL 500MG C/40"/>
        <s v="SEDASIVA 1.25CMX1M"/>
        <s v="SENOSIAIN SUPO ADULTO C/20"/>
        <s v="SENOSIAIN SUPO BEBE C/10"/>
        <s v="SENOSIAIN SUPO NIÑO C/10"/>
        <s v="SENOSIDOS A-B TABL 8.6MG C/20"/>
        <s v="SENTAX SLOR 1000 MG / 10 ML C/"/>
        <s v="SERC TABL 24MG C/30"/>
        <s v="SERETIDE DISKUS PLOR 50/250MCG"/>
        <s v="SERETIDE EVOHALER AERO 25/250M"/>
        <s v="SEROQUEL XR TBLP 50 MG C/30"/>
        <s v="SERTRALINA TABL 50MG C/14"/>
        <s v="SEVOFLURANO SLPN 100% MILILITR"/>
        <s v="SIES CAPS 200MG C/20"/>
        <s v="SIG COMP 2.5 MG C/30"/>
        <s v="SILDENAFIL TABL 50MG C/4"/>
        <s v="SINERGIX TBSL 25-10MG C/10"/>
        <s v="SINERGIX TBSL 25-10MG C/4"/>
        <s v="SINTROM TABL 4MG C/30"/>
        <s v="SINUBERASE AMP 2BILL C/10"/>
        <s v="SINUBERASE COMP 1 MILLON UFC C"/>
        <s v="SIRDALUD TABL 2MG C/20"/>
        <s v="SOLDRIN OFT 1-3.5G SLOF GTS 10"/>
        <s v="SOLORO 7 PARC 5 MG C/4"/>
        <s v="SOLTRIM TABL 160-800MG C/14"/>
        <s v="SOLUCION DEXTROSA SLIY 50%50ML"/>
        <s v="SOLURAL MANZANA BOT 500ML"/>
        <s v="SOLURAL PED FRESA BOT 300ML"/>
        <s v="SOLURAL PED MANZANA BOT 300ML"/>
        <s v="SOLURAL PED UVA BOT 300ML"/>
        <s v="SOMAZINA SLIY 1000MG/4ML C/5"/>
        <s v="SOMNOCAL SLIY 50MG/10ML G(II)"/>
        <s v="SPIRIVA CAPS 18MCG C/30 CON DO"/>
        <s v="SPIRIVA RESPIMAT SLPN 0.226mg"/>
        <s v="STADIUM SLIY 50MG/2ML"/>
        <s v="STERIMAR SLNS AD FCO 50ML"/>
        <s v="STERIMAR SLNS BEBE FCO 50ML"/>
        <s v="STERIMAR SLNS FCO 100ML"/>
        <s v="SUCRALFATO TABL 1G C/40"/>
        <s v="SUFREXAL GEL VAG 78G C/APLIC"/>
        <s v="SULFADIAZINA CREM1% 28 G"/>
        <s v="SULFADIAZINA DE PLATA CREM 30G"/>
        <s v="SULFATO FERROSO TABL  200MG  C"/>
        <s v="SULFATO MAGNESIO SLIY1G/10ML P"/>
        <s v="SUPACID SLIY 40MG/10ML"/>
        <s v="SUPPORTAN CAPUCHINO 200ML"/>
        <s v="SUPRADOL CAFEINA TABL 10MG/50M"/>
        <s v="SUPRADOL SLIY 60MG/2ML"/>
        <s v="SUPRADOL TBSL 30MG C/4"/>
        <s v="SUPRADOLDUET SLIY 10MG-25MG/1M"/>
        <s v="SUSPENSORIO CLINICO CHICO"/>
        <s v="SUSPENSORIO CLINICO GRANDE"/>
        <s v="SUSPENSORIO CLINICO MEDIANO"/>
        <s v="SYMBRYAX CAPS 3/25 MG C/14"/>
        <s v="SYNALAR SIMPLE CREM 0.01% 20G"/>
        <s v="SYNALAR-O SLOT GTS 15ML"/>
        <s v="TABCIN TABL C/12"/>
        <s v="TADALAFIL TABL 20MG C/4"/>
        <s v="TAFIROL FLEX TABL 300-250MG/30"/>
        <s v="TAFIROL TABL 1G C/20"/>
        <s v="TAMIFLU  CAPS 75MG C/10"/>
        <s v="TAMSULOSINA CPLP 0.4MG C/20 CA"/>
        <s v="TELA ADHESIVA DIBAR 2.5CMX5M"/>
        <s v="TELMISA-HIDRO TABL 80-12.5MG C"/>
        <s v="TELMISA-HIDROTABL80-12.5MGC/14"/>
        <s v="TELMISARTAN TABL 40MG C/14 TAB"/>
        <s v="TELMISARTAN TABL 40MG C/28 AM"/>
        <s v="TELMISARTAN TABL 80MG C/14 AM"/>
        <s v="TELMISARTAN TABL 80MG C/28 AM"/>
        <s v="TEMPRA JARA INF 3.2G/100ML 120"/>
        <s v="TEMPRA SLOR GTS 100MG/ML 30ML"/>
        <s v="TEMPRA TBMS 160MG C/30"/>
        <s v="TENA PANTS ROPA INT C/10 G"/>
        <s v="TENDRIN SLIY 50MG/2ML G(II)"/>
        <s v="TEOFILINA TABL 100MG LP C/20"/>
        <s v="TERBINAFINA CREMA 1% 20G"/>
        <s v="TERLIPRESINA SLIY 1MG/5ML"/>
        <s v="TERMOMETRO DIGITAL"/>
        <s v="TESALON PERLAS 100MG C/20"/>
        <s v="TETRALISAL CAPS 300MG C/20"/>
        <s v="THEALOZ  3% GOTAS FCO/10ML"/>
        <s v="THRESHOLD IMT VALVULA"/>
        <s v="THRESHOLD PEP VALVULA"/>
        <s v="TIAMINAL B12 50,000 SLIY 10ML"/>
        <s v="TIAMINAL B12 CAPS  TRIV AP C/3"/>
        <s v="TIAMINAL B12 TRIV AP CAPS C/30"/>
        <s v="TIBIOTICO)"/>
        <s v="TIRALECHE CRISTAL"/>
        <s v="TOALLITAS HUMEDAS C/120"/>
        <s v="TOBILLERA ELAST AJUSTE EN 8 CH"/>
        <s v="TOBILLERA ELAST AJUSTE EN 8 M"/>
        <s v="TOBILLERA ELASTICA CON AJUSTE"/>
        <s v="TOBREX SLOF 3MG/ML 5ML"/>
        <s v="TOCILIZUMAB SLIY 400MG/20ML"/>
        <s v="TOLTERODINA TABL 2MG C/14"/>
        <s v="TOPAMAX TABL 25MG C/20"/>
        <s v="TOPIRAMATO 25MG C/60"/>
        <s v="TP OFTENO SLOF 8-50MG 15ML"/>
        <s v="TRACEFUSIN SLIY 20ML PI"/>
        <s v="TRADOL SLOR GTS 100MG/1ML"/>
        <s v="TRAMACET TABL 37.5-325MG C/20"/>
        <s v="TRAMADOL CAPS 50 MG C/10"/>
        <s v="TRAMADOL SLIY 100MG/2ML AM"/>
        <s v="TRAMADOL TABL 50MG C/10"/>
        <s v="TRAMADOL TABL 50MG C/50"/>
        <s v="TRAMADOL-PARACETA TABL 37.5-32"/>
        <s v="TRAMADOL-PARCETAMOL TAB 37.5/3"/>
        <s v="TRANSTEC PARCH 20MG LP C/2"/>
        <s v="TRAYENTA DUO TABL 2.5/ 850 MG"/>
        <s v="TRAYENTA DUO TABL 2.5/1000MG C"/>
        <s v="TRAZIDEX OFTENO SPOF 3/1MG/ML"/>
        <s v="TRAZIL OFTENO SLOF 3MG GTO C/1"/>
        <s v="TREDA TABL 129-280-30MG C/20"/>
        <s v="TREXEN DUO OVUL 100-400MG C/7"/>
        <s v="TRIBEDOCE TABL 100-5MG-50 C/30"/>
        <s v="TRIMBOW AERO 100 mcg/6mcg/12.5"/>
        <s v="TRIMEBUTINA TABL 200MG C/20"/>
        <s v="TRIMEBUTINA TABL 200MG C/30"/>
        <s v="TRIMETOPRIMA- SULFAMETOXAZOL T"/>
        <s v="TRIMETROPRIMA/SULFAMETOXAZOL S"/>
        <s v="TRIMEXAZOL F  TABL 160 MG / 80"/>
        <s v="TRI-VI-SOL SLOR 50ML"/>
        <s v="TRONIUM SLIY 40MG"/>
        <s v="TUMS EXTRA TBMS 3 TBO C/8"/>
        <s v="TUMS MENTA TBMS 500MG C/75"/>
        <s v="TYGACIL SLIY 50MG"/>
        <s v="TYLEX CD CAPS 500-30MG C/30"/>
        <s v="TYLEX TABL 750MG C/20"/>
        <s v="ULCODERMA CREM 0.6UI-0.01G 15G"/>
        <s v="UMBRELLA PLUS SPRY 120G"/>
        <s v="UNAMOL SPOR 1MG/ML 60ML"/>
        <s v="UNIVAL SPOR 1G/5ML 230ML"/>
        <s v="UNIVAL TABL 1G C/40"/>
        <s v="UNOKAVI EMIY 10MG/1ML"/>
        <s v="UNOKAVI EMIY 2MG/0.2ML"/>
        <s v="URIZIA TABL 6MG/0.4MG C/30"/>
        <s v="URSOFALK CAPS 250MG C/50"/>
        <s v="UXICOLIN SLIY 40MG/2ML REF"/>
        <s v="VACUNA"/>
        <s v="VALIUM TABL 10MG C/20"/>
        <s v="VALPROATO DE MAGNESIO TABL 300"/>
        <s v="VANCOMICINA SLIY 500MG/10ML"/>
        <s v="VANNAIR AERO 160-4.5MCG 120D"/>
        <s v="VANTAL BUCOFARINGEO ENJ 36OML"/>
        <s v="VANTAL BUCOFARINGEO SPRY 40ML"/>
        <s v="VASELINE 50G"/>
        <s v="VASO RECOLECTOR 120 ML"/>
        <s v="VASO RECOLECTOR DAMACO"/>
        <s v="VECURONIO SLIY 4MG/ML"/>
        <s v="VENDA DE GASA 10CMX5M DIFERENT"/>
        <s v="VENDA ELAS LE ROY 25X5M"/>
        <s v="VENDA ELAS LE ROY 5X5M"/>
        <s v="VENDA ELAS LE ROY 7.5X5M"/>
        <s v="VENDA ELAS PROTEC 15X5M"/>
        <s v="VENDA ELAS PROTEC 25X5M"/>
        <s v="VENDA ELAS PROTEC 30X5M"/>
        <s v="VENDA ELASTICA 10CMX5M"/>
        <s v="VENDA ELASTICA ALTA COMPRESION"/>
        <s v="VENDA ELASTOMEDIC LEROY 10CM"/>
        <s v="VENDA ELASTOMEDIC LEROY 15CM"/>
        <s v="VENOFERRUM SLIY 100 MG/5 ML"/>
        <s v="VESSEL DUE F CAPS 250MGC/50"/>
        <s v="VESSEL DUE F SLIY 60MG/2ML C/1"/>
        <s v="VICK PAST CEREZA C/20"/>
        <s v="VICTAN COMP 2MG C/30 (II)"/>
        <s v="VIMPAT SLIY 200MG/20ML"/>
        <s v="VIOLETA DE GENCIANA 60ML KAREY"/>
        <s v="VITACILINA UNGU TUB 28G"/>
        <s v="VITAFUSIN SLIY 5ML"/>
        <s v="VITAMINA C TBEF 1G C/10"/>
        <s v="VITAMINA E CAPS 400UI C/30"/>
        <s v="VITAMINAS A,C,D SOL INFANTIL 1"/>
        <s v="VITERNUM JARABE 60MG/100ML 140"/>
        <s v="VIVITAR TABL 100MG C/30"/>
        <s v="VOLTAREN EMULGEL 12HRS 2.32% 5"/>
        <s v="VORICONAZOL SLIY 200MG/20ML"/>
        <s v="XARELTO TABL 10MG C/10"/>
        <s v="XARELTO TABL 10MG C/30"/>
        <s v="XELODA TABL 500MG C/120"/>
        <s v="XELTETRA-M CAPS 100 MG C/12"/>
        <s v="XIOMARA GEL 250 G"/>
        <s v="XL-3 TABL C/10"/>
        <s v="XUZAL GOTAS 5MG/ML 20ML"/>
        <s v="YASMIN COMP 3-0.03MG C/21"/>
        <s v="YUREDOL CAPS 10MG,250MG C/30"/>
        <s v="YURELAX CAPS 10MG C/30"/>
        <s v="ZALDIAR 325-37.5 MG C/10"/>
        <s v="ZAPEX TABL 30 MG  C/10"/>
        <s v="ZAXCELL GEL 5G"/>
        <s v="ZENTEL TABL 200MG C/10"/>
        <s v="ZINNAT TABL 500MG C/10"/>
        <s v="ZIR-FOS NC POVR C/30 3G C/U"/>
        <s v="ZISUAL-C TUBO C/30 G"/>
        <s v="ZUFTIL SLIY 0.250MG/5ML (I)"/>
        <s v="ZYLOPRIM TABL 100MG C/60"/>
        <s v="ZYPLO JARA 600MG/10ML 120ML"/>
        <s v="ZYPLO TABL 60 MG C/10"/>
        <s v="ZYPREXA SLIY 10MG/2ML IM"/>
        <s v="ZYPREXA TABL 5MG C/14"/>
        <s v="ZYVOXAM SLIY 600MG/300ML"/>
        <s v="ZYVOXAM TABL 600MG C/10"/>
      </sharedItems>
    </cacheField>
    <cacheField name="DESPLAZAMIENTO" numFmtId="0">
      <sharedItems containsString="0" containsBlank="1" containsNumber="1" containsInteger="1" minValue="-2" maxValue="2090" count="185">
        <n v="1"/>
        <n v="2"/>
        <n v="4"/>
        <n v="0"/>
        <n v="3"/>
        <n v="7"/>
        <n v="5"/>
        <n v="8"/>
        <n v="15"/>
        <n v="10"/>
        <n v="6"/>
        <n v="22"/>
        <n v="19"/>
        <n v="18"/>
        <m/>
        <n v="21"/>
        <n v="35"/>
        <n v="30"/>
        <n v="13"/>
        <n v="101"/>
        <n v="67"/>
        <n v="51"/>
        <n v="48"/>
        <n v="66"/>
        <n v="83"/>
        <n v="86"/>
        <n v="92"/>
        <n v="80"/>
        <n v="94"/>
        <n v="85"/>
        <n v="79"/>
        <n v="69"/>
        <n v="60"/>
        <n v="62"/>
        <n v="50"/>
        <n v="64"/>
        <n v="73"/>
        <n v="114"/>
        <n v="70"/>
        <n v="41"/>
        <n v="38"/>
        <n v="44"/>
        <n v="46"/>
        <n v="55"/>
        <n v="53"/>
        <n v="75"/>
        <n v="63"/>
        <n v="16"/>
        <n v="11"/>
        <n v="9"/>
        <n v="31"/>
        <n v="24"/>
        <n v="28"/>
        <n v="34"/>
        <n v="119"/>
        <n v="127"/>
        <n v="61"/>
        <n v="89"/>
        <n v="58"/>
        <n v="33"/>
        <n v="42"/>
        <n v="49"/>
        <n v="27"/>
        <n v="45"/>
        <n v="17"/>
        <n v="14"/>
        <n v="47"/>
        <n v="54"/>
        <n v="43"/>
        <n v="23"/>
        <n v="71"/>
        <n v="12"/>
        <n v="52"/>
        <n v="81"/>
        <n v="74"/>
        <n v="32"/>
        <n v="56"/>
        <n v="20"/>
        <n v="37"/>
        <n v="78"/>
        <n v="115"/>
        <n v="39"/>
        <n v="82"/>
        <n v="100"/>
        <n v="107"/>
        <n v="135"/>
        <n v="137"/>
        <n v="96"/>
        <n v="122"/>
        <n v="171"/>
        <n v="98"/>
        <n v="489"/>
        <n v="348"/>
        <n v="185"/>
        <n v="25"/>
        <n v="29"/>
        <n v="130"/>
        <n v="87"/>
        <n v="108"/>
        <n v="95"/>
        <n v="128"/>
        <n v="152"/>
        <n v="99"/>
        <n v="97"/>
        <n v="65"/>
        <n v="36"/>
        <n v="216"/>
        <n v="76"/>
        <n v="161"/>
        <n v="150"/>
        <n v="57"/>
        <n v="211"/>
        <n v="349"/>
        <n v="118"/>
        <n v="124"/>
        <n v="26"/>
        <n v="106"/>
        <n v="40"/>
        <n v="208"/>
        <n v="88"/>
        <n v="102"/>
        <n v="164"/>
        <n v="116"/>
        <n v="90"/>
        <n v="125"/>
        <n v="120"/>
        <n v="121"/>
        <n v="217"/>
        <n v="134"/>
        <n v="68"/>
        <n v="213"/>
        <n v="153"/>
        <n v="200"/>
        <n v="109"/>
        <n v="358"/>
        <n v="301"/>
        <n v="262"/>
        <n v="233"/>
        <n v="283"/>
        <n v="373"/>
        <n v="234"/>
        <n v="230"/>
        <n v="299"/>
        <n v="337"/>
        <n v="269"/>
        <n v="111"/>
        <n v="169"/>
        <n v="142"/>
        <n v="72"/>
        <n v="331"/>
        <n v="225"/>
        <n v="282"/>
        <n v="311"/>
        <n v="351"/>
        <n v="357"/>
        <n v="309"/>
        <n v="322"/>
        <n v="429"/>
        <n v="388"/>
        <n v="59"/>
        <n v="175"/>
        <n v="228"/>
        <n v="163"/>
        <n v="93"/>
        <n v="158"/>
        <n v="203"/>
        <n v="160"/>
        <n v="181"/>
        <n v="-2"/>
        <n v="112"/>
        <n v="2025"/>
        <n v="1395"/>
        <n v="1345"/>
        <n v="965"/>
        <n v="1425"/>
        <n v="1845"/>
        <n v="2070"/>
        <n v="1650"/>
        <n v="1330"/>
        <n v="2090"/>
        <n v="1760"/>
        <n v="151"/>
        <n v="157"/>
        <n v="104"/>
        <n v="18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82">
  <r>
    <x v="0"/>
    <x v="0"/>
    <x v="0"/>
  </r>
  <r>
    <x v="1"/>
    <x v="1"/>
    <x v="0"/>
  </r>
  <r>
    <x v="2"/>
    <x v="1"/>
    <x v="1"/>
  </r>
  <r>
    <x v="3"/>
    <x v="1"/>
    <x v="1"/>
  </r>
  <r>
    <x v="4"/>
    <x v="1"/>
    <x v="2"/>
  </r>
  <r>
    <x v="5"/>
    <x v="1"/>
    <x v="0"/>
  </r>
  <r>
    <x v="6"/>
    <x v="1"/>
    <x v="0"/>
  </r>
  <r>
    <x v="7"/>
    <x v="1"/>
    <x v="0"/>
  </r>
  <r>
    <x v="5"/>
    <x v="2"/>
    <x v="0"/>
  </r>
  <r>
    <x v="6"/>
    <x v="2"/>
    <x v="0"/>
  </r>
  <r>
    <x v="2"/>
    <x v="3"/>
    <x v="0"/>
  </r>
  <r>
    <x v="8"/>
    <x v="3"/>
    <x v="0"/>
  </r>
  <r>
    <x v="6"/>
    <x v="3"/>
    <x v="0"/>
  </r>
  <r>
    <x v="1"/>
    <x v="4"/>
    <x v="0"/>
  </r>
  <r>
    <x v="3"/>
    <x v="4"/>
    <x v="0"/>
  </r>
  <r>
    <x v="9"/>
    <x v="4"/>
    <x v="0"/>
  </r>
  <r>
    <x v="0"/>
    <x v="4"/>
    <x v="0"/>
  </r>
  <r>
    <x v="6"/>
    <x v="4"/>
    <x v="0"/>
  </r>
  <r>
    <x v="10"/>
    <x v="5"/>
    <x v="0"/>
  </r>
  <r>
    <x v="2"/>
    <x v="5"/>
    <x v="0"/>
  </r>
  <r>
    <x v="4"/>
    <x v="6"/>
    <x v="3"/>
  </r>
  <r>
    <x v="4"/>
    <x v="6"/>
    <x v="0"/>
  </r>
  <r>
    <x v="10"/>
    <x v="7"/>
    <x v="0"/>
  </r>
  <r>
    <x v="1"/>
    <x v="7"/>
    <x v="0"/>
  </r>
  <r>
    <x v="2"/>
    <x v="7"/>
    <x v="4"/>
  </r>
  <r>
    <x v="10"/>
    <x v="8"/>
    <x v="0"/>
  </r>
  <r>
    <x v="2"/>
    <x v="8"/>
    <x v="5"/>
  </r>
  <r>
    <x v="3"/>
    <x v="8"/>
    <x v="1"/>
  </r>
  <r>
    <x v="9"/>
    <x v="8"/>
    <x v="0"/>
  </r>
  <r>
    <x v="0"/>
    <x v="8"/>
    <x v="1"/>
  </r>
  <r>
    <x v="8"/>
    <x v="8"/>
    <x v="1"/>
  </r>
  <r>
    <x v="4"/>
    <x v="8"/>
    <x v="6"/>
  </r>
  <r>
    <x v="5"/>
    <x v="8"/>
    <x v="1"/>
  </r>
  <r>
    <x v="6"/>
    <x v="8"/>
    <x v="1"/>
  </r>
  <r>
    <x v="7"/>
    <x v="8"/>
    <x v="0"/>
  </r>
  <r>
    <x v="2"/>
    <x v="9"/>
    <x v="7"/>
  </r>
  <r>
    <x v="3"/>
    <x v="9"/>
    <x v="8"/>
  </r>
  <r>
    <x v="9"/>
    <x v="9"/>
    <x v="9"/>
  </r>
  <r>
    <x v="0"/>
    <x v="9"/>
    <x v="6"/>
  </r>
  <r>
    <x v="8"/>
    <x v="9"/>
    <x v="5"/>
  </r>
  <r>
    <x v="5"/>
    <x v="9"/>
    <x v="10"/>
  </r>
  <r>
    <x v="2"/>
    <x v="10"/>
    <x v="4"/>
  </r>
  <r>
    <x v="0"/>
    <x v="10"/>
    <x v="3"/>
  </r>
  <r>
    <x v="5"/>
    <x v="10"/>
    <x v="0"/>
  </r>
  <r>
    <x v="6"/>
    <x v="10"/>
    <x v="0"/>
  </r>
  <r>
    <x v="1"/>
    <x v="11"/>
    <x v="0"/>
  </r>
  <r>
    <x v="2"/>
    <x v="11"/>
    <x v="0"/>
  </r>
  <r>
    <x v="9"/>
    <x v="11"/>
    <x v="0"/>
  </r>
  <r>
    <x v="0"/>
    <x v="11"/>
    <x v="1"/>
  </r>
  <r>
    <x v="8"/>
    <x v="11"/>
    <x v="1"/>
  </r>
  <r>
    <x v="7"/>
    <x v="11"/>
    <x v="1"/>
  </r>
  <r>
    <x v="10"/>
    <x v="12"/>
    <x v="6"/>
  </r>
  <r>
    <x v="2"/>
    <x v="12"/>
    <x v="11"/>
  </r>
  <r>
    <x v="3"/>
    <x v="12"/>
    <x v="12"/>
  </r>
  <r>
    <x v="9"/>
    <x v="12"/>
    <x v="2"/>
  </r>
  <r>
    <x v="8"/>
    <x v="12"/>
    <x v="13"/>
  </r>
  <r>
    <x v="5"/>
    <x v="12"/>
    <x v="0"/>
  </r>
  <r>
    <x v="6"/>
    <x v="12"/>
    <x v="0"/>
  </r>
  <r>
    <x v="7"/>
    <x v="12"/>
    <x v="0"/>
  </r>
  <r>
    <x v="10"/>
    <x v="13"/>
    <x v="1"/>
  </r>
  <r>
    <x v="3"/>
    <x v="13"/>
    <x v="0"/>
  </r>
  <r>
    <x v="10"/>
    <x v="14"/>
    <x v="7"/>
  </r>
  <r>
    <x v="1"/>
    <x v="14"/>
    <x v="4"/>
  </r>
  <r>
    <x v="2"/>
    <x v="14"/>
    <x v="1"/>
  </r>
  <r>
    <x v="3"/>
    <x v="14"/>
    <x v="6"/>
  </r>
  <r>
    <x v="9"/>
    <x v="14"/>
    <x v="4"/>
  </r>
  <r>
    <x v="0"/>
    <x v="14"/>
    <x v="0"/>
  </r>
  <r>
    <x v="8"/>
    <x v="14"/>
    <x v="4"/>
  </r>
  <r>
    <x v="4"/>
    <x v="14"/>
    <x v="4"/>
  </r>
  <r>
    <x v="5"/>
    <x v="14"/>
    <x v="10"/>
  </r>
  <r>
    <x v="6"/>
    <x v="14"/>
    <x v="4"/>
  </r>
  <r>
    <x v="7"/>
    <x v="14"/>
    <x v="0"/>
  </r>
  <r>
    <x v="6"/>
    <x v="15"/>
    <x v="0"/>
  </r>
  <r>
    <x v="7"/>
    <x v="15"/>
    <x v="1"/>
  </r>
  <r>
    <x v="1"/>
    <x v="16"/>
    <x v="0"/>
  </r>
  <r>
    <x v="3"/>
    <x v="16"/>
    <x v="0"/>
  </r>
  <r>
    <x v="2"/>
    <x v="17"/>
    <x v="14"/>
  </r>
  <r>
    <x v="1"/>
    <x v="18"/>
    <x v="0"/>
  </r>
  <r>
    <x v="7"/>
    <x v="18"/>
    <x v="0"/>
  </r>
  <r>
    <x v="10"/>
    <x v="19"/>
    <x v="0"/>
  </r>
  <r>
    <x v="1"/>
    <x v="19"/>
    <x v="0"/>
  </r>
  <r>
    <x v="10"/>
    <x v="20"/>
    <x v="6"/>
  </r>
  <r>
    <x v="1"/>
    <x v="20"/>
    <x v="1"/>
  </r>
  <r>
    <x v="2"/>
    <x v="20"/>
    <x v="1"/>
  </r>
  <r>
    <x v="3"/>
    <x v="20"/>
    <x v="0"/>
  </r>
  <r>
    <x v="4"/>
    <x v="20"/>
    <x v="0"/>
  </r>
  <r>
    <x v="5"/>
    <x v="20"/>
    <x v="0"/>
  </r>
  <r>
    <x v="7"/>
    <x v="20"/>
    <x v="0"/>
  </r>
  <r>
    <x v="10"/>
    <x v="21"/>
    <x v="1"/>
  </r>
  <r>
    <x v="3"/>
    <x v="21"/>
    <x v="1"/>
  </r>
  <r>
    <x v="9"/>
    <x v="21"/>
    <x v="1"/>
  </r>
  <r>
    <x v="0"/>
    <x v="21"/>
    <x v="1"/>
  </r>
  <r>
    <x v="0"/>
    <x v="22"/>
    <x v="2"/>
  </r>
  <r>
    <x v="5"/>
    <x v="22"/>
    <x v="1"/>
  </r>
  <r>
    <x v="2"/>
    <x v="23"/>
    <x v="0"/>
  </r>
  <r>
    <x v="0"/>
    <x v="24"/>
    <x v="0"/>
  </r>
  <r>
    <x v="3"/>
    <x v="25"/>
    <x v="0"/>
  </r>
  <r>
    <x v="5"/>
    <x v="25"/>
    <x v="0"/>
  </r>
  <r>
    <x v="1"/>
    <x v="26"/>
    <x v="0"/>
  </r>
  <r>
    <x v="10"/>
    <x v="27"/>
    <x v="10"/>
  </r>
  <r>
    <x v="1"/>
    <x v="27"/>
    <x v="6"/>
  </r>
  <r>
    <x v="2"/>
    <x v="27"/>
    <x v="1"/>
  </r>
  <r>
    <x v="3"/>
    <x v="27"/>
    <x v="0"/>
  </r>
  <r>
    <x v="9"/>
    <x v="27"/>
    <x v="2"/>
  </r>
  <r>
    <x v="0"/>
    <x v="27"/>
    <x v="5"/>
  </r>
  <r>
    <x v="8"/>
    <x v="27"/>
    <x v="2"/>
  </r>
  <r>
    <x v="4"/>
    <x v="27"/>
    <x v="1"/>
  </r>
  <r>
    <x v="5"/>
    <x v="27"/>
    <x v="0"/>
  </r>
  <r>
    <x v="6"/>
    <x v="27"/>
    <x v="6"/>
  </r>
  <r>
    <x v="7"/>
    <x v="27"/>
    <x v="2"/>
  </r>
  <r>
    <x v="7"/>
    <x v="28"/>
    <x v="1"/>
  </r>
  <r>
    <x v="1"/>
    <x v="29"/>
    <x v="0"/>
  </r>
  <r>
    <x v="0"/>
    <x v="29"/>
    <x v="0"/>
  </r>
  <r>
    <x v="10"/>
    <x v="30"/>
    <x v="4"/>
  </r>
  <r>
    <x v="0"/>
    <x v="30"/>
    <x v="0"/>
  </r>
  <r>
    <x v="8"/>
    <x v="30"/>
    <x v="1"/>
  </r>
  <r>
    <x v="6"/>
    <x v="31"/>
    <x v="0"/>
  </r>
  <r>
    <x v="10"/>
    <x v="32"/>
    <x v="1"/>
  </r>
  <r>
    <x v="1"/>
    <x v="32"/>
    <x v="0"/>
  </r>
  <r>
    <x v="2"/>
    <x v="32"/>
    <x v="1"/>
  </r>
  <r>
    <x v="3"/>
    <x v="32"/>
    <x v="1"/>
  </r>
  <r>
    <x v="9"/>
    <x v="32"/>
    <x v="4"/>
  </r>
  <r>
    <x v="0"/>
    <x v="32"/>
    <x v="0"/>
  </r>
  <r>
    <x v="8"/>
    <x v="32"/>
    <x v="0"/>
  </r>
  <r>
    <x v="4"/>
    <x v="32"/>
    <x v="1"/>
  </r>
  <r>
    <x v="5"/>
    <x v="32"/>
    <x v="1"/>
  </r>
  <r>
    <x v="6"/>
    <x v="32"/>
    <x v="0"/>
  </r>
  <r>
    <x v="0"/>
    <x v="33"/>
    <x v="0"/>
  </r>
  <r>
    <x v="8"/>
    <x v="33"/>
    <x v="0"/>
  </r>
  <r>
    <x v="4"/>
    <x v="33"/>
    <x v="2"/>
  </r>
  <r>
    <x v="5"/>
    <x v="33"/>
    <x v="3"/>
  </r>
  <r>
    <x v="7"/>
    <x v="33"/>
    <x v="1"/>
  </r>
  <r>
    <x v="4"/>
    <x v="34"/>
    <x v="0"/>
  </r>
  <r>
    <x v="5"/>
    <x v="34"/>
    <x v="1"/>
  </r>
  <r>
    <x v="7"/>
    <x v="35"/>
    <x v="0"/>
  </r>
  <r>
    <x v="10"/>
    <x v="36"/>
    <x v="15"/>
  </r>
  <r>
    <x v="1"/>
    <x v="36"/>
    <x v="16"/>
  </r>
  <r>
    <x v="2"/>
    <x v="36"/>
    <x v="17"/>
  </r>
  <r>
    <x v="3"/>
    <x v="36"/>
    <x v="13"/>
  </r>
  <r>
    <x v="9"/>
    <x v="36"/>
    <x v="4"/>
  </r>
  <r>
    <x v="8"/>
    <x v="36"/>
    <x v="2"/>
  </r>
  <r>
    <x v="4"/>
    <x v="36"/>
    <x v="1"/>
  </r>
  <r>
    <x v="5"/>
    <x v="36"/>
    <x v="18"/>
  </r>
  <r>
    <x v="10"/>
    <x v="37"/>
    <x v="1"/>
  </r>
  <r>
    <x v="1"/>
    <x v="37"/>
    <x v="1"/>
  </r>
  <r>
    <x v="4"/>
    <x v="37"/>
    <x v="6"/>
  </r>
  <r>
    <x v="5"/>
    <x v="37"/>
    <x v="0"/>
  </r>
  <r>
    <x v="10"/>
    <x v="38"/>
    <x v="7"/>
  </r>
  <r>
    <x v="1"/>
    <x v="38"/>
    <x v="10"/>
  </r>
  <r>
    <x v="0"/>
    <x v="38"/>
    <x v="2"/>
  </r>
  <r>
    <x v="8"/>
    <x v="38"/>
    <x v="5"/>
  </r>
  <r>
    <x v="4"/>
    <x v="38"/>
    <x v="1"/>
  </r>
  <r>
    <x v="5"/>
    <x v="38"/>
    <x v="0"/>
  </r>
  <r>
    <x v="6"/>
    <x v="38"/>
    <x v="0"/>
  </r>
  <r>
    <x v="7"/>
    <x v="38"/>
    <x v="0"/>
  </r>
  <r>
    <x v="10"/>
    <x v="39"/>
    <x v="2"/>
  </r>
  <r>
    <x v="1"/>
    <x v="39"/>
    <x v="10"/>
  </r>
  <r>
    <x v="3"/>
    <x v="39"/>
    <x v="0"/>
  </r>
  <r>
    <x v="9"/>
    <x v="39"/>
    <x v="6"/>
  </r>
  <r>
    <x v="8"/>
    <x v="39"/>
    <x v="0"/>
  </r>
  <r>
    <x v="4"/>
    <x v="39"/>
    <x v="6"/>
  </r>
  <r>
    <x v="5"/>
    <x v="39"/>
    <x v="2"/>
  </r>
  <r>
    <x v="6"/>
    <x v="39"/>
    <x v="2"/>
  </r>
  <r>
    <x v="7"/>
    <x v="39"/>
    <x v="2"/>
  </r>
  <r>
    <x v="3"/>
    <x v="40"/>
    <x v="4"/>
  </r>
  <r>
    <x v="9"/>
    <x v="40"/>
    <x v="4"/>
  </r>
  <r>
    <x v="4"/>
    <x v="40"/>
    <x v="0"/>
  </r>
  <r>
    <x v="5"/>
    <x v="40"/>
    <x v="2"/>
  </r>
  <r>
    <x v="6"/>
    <x v="40"/>
    <x v="0"/>
  </r>
  <r>
    <x v="10"/>
    <x v="41"/>
    <x v="0"/>
  </r>
  <r>
    <x v="4"/>
    <x v="41"/>
    <x v="4"/>
  </r>
  <r>
    <x v="6"/>
    <x v="41"/>
    <x v="4"/>
  </r>
  <r>
    <x v="3"/>
    <x v="42"/>
    <x v="0"/>
  </r>
  <r>
    <x v="9"/>
    <x v="42"/>
    <x v="6"/>
  </r>
  <r>
    <x v="0"/>
    <x v="43"/>
    <x v="1"/>
  </r>
  <r>
    <x v="8"/>
    <x v="43"/>
    <x v="5"/>
  </r>
  <r>
    <x v="4"/>
    <x v="43"/>
    <x v="5"/>
  </r>
  <r>
    <x v="5"/>
    <x v="43"/>
    <x v="5"/>
  </r>
  <r>
    <x v="6"/>
    <x v="43"/>
    <x v="0"/>
  </r>
  <r>
    <x v="10"/>
    <x v="44"/>
    <x v="2"/>
  </r>
  <r>
    <x v="1"/>
    <x v="44"/>
    <x v="10"/>
  </r>
  <r>
    <x v="7"/>
    <x v="44"/>
    <x v="10"/>
  </r>
  <r>
    <x v="10"/>
    <x v="45"/>
    <x v="5"/>
  </r>
  <r>
    <x v="1"/>
    <x v="45"/>
    <x v="6"/>
  </r>
  <r>
    <x v="3"/>
    <x v="45"/>
    <x v="10"/>
  </r>
  <r>
    <x v="10"/>
    <x v="46"/>
    <x v="19"/>
  </r>
  <r>
    <x v="1"/>
    <x v="46"/>
    <x v="20"/>
  </r>
  <r>
    <x v="2"/>
    <x v="46"/>
    <x v="21"/>
  </r>
  <r>
    <x v="3"/>
    <x v="46"/>
    <x v="22"/>
  </r>
  <r>
    <x v="9"/>
    <x v="46"/>
    <x v="23"/>
  </r>
  <r>
    <x v="0"/>
    <x v="46"/>
    <x v="24"/>
  </r>
  <r>
    <x v="8"/>
    <x v="46"/>
    <x v="25"/>
  </r>
  <r>
    <x v="4"/>
    <x v="46"/>
    <x v="26"/>
  </r>
  <r>
    <x v="5"/>
    <x v="46"/>
    <x v="27"/>
  </r>
  <r>
    <x v="6"/>
    <x v="46"/>
    <x v="28"/>
  </r>
  <r>
    <x v="7"/>
    <x v="46"/>
    <x v="29"/>
  </r>
  <r>
    <x v="10"/>
    <x v="47"/>
    <x v="30"/>
  </r>
  <r>
    <x v="1"/>
    <x v="47"/>
    <x v="31"/>
  </r>
  <r>
    <x v="2"/>
    <x v="47"/>
    <x v="32"/>
  </r>
  <r>
    <x v="3"/>
    <x v="47"/>
    <x v="33"/>
  </r>
  <r>
    <x v="9"/>
    <x v="47"/>
    <x v="34"/>
  </r>
  <r>
    <x v="0"/>
    <x v="47"/>
    <x v="35"/>
  </r>
  <r>
    <x v="8"/>
    <x v="47"/>
    <x v="36"/>
  </r>
  <r>
    <x v="4"/>
    <x v="47"/>
    <x v="35"/>
  </r>
  <r>
    <x v="5"/>
    <x v="47"/>
    <x v="37"/>
  </r>
  <r>
    <x v="6"/>
    <x v="47"/>
    <x v="32"/>
  </r>
  <r>
    <x v="7"/>
    <x v="47"/>
    <x v="38"/>
  </r>
  <r>
    <x v="10"/>
    <x v="48"/>
    <x v="39"/>
  </r>
  <r>
    <x v="1"/>
    <x v="48"/>
    <x v="40"/>
  </r>
  <r>
    <x v="2"/>
    <x v="48"/>
    <x v="41"/>
  </r>
  <r>
    <x v="3"/>
    <x v="48"/>
    <x v="42"/>
  </r>
  <r>
    <x v="9"/>
    <x v="48"/>
    <x v="43"/>
  </r>
  <r>
    <x v="0"/>
    <x v="48"/>
    <x v="44"/>
  </r>
  <r>
    <x v="8"/>
    <x v="48"/>
    <x v="23"/>
  </r>
  <r>
    <x v="4"/>
    <x v="48"/>
    <x v="45"/>
  </r>
  <r>
    <x v="5"/>
    <x v="48"/>
    <x v="37"/>
  </r>
  <r>
    <x v="6"/>
    <x v="48"/>
    <x v="46"/>
  </r>
  <r>
    <x v="7"/>
    <x v="48"/>
    <x v="27"/>
  </r>
  <r>
    <x v="1"/>
    <x v="49"/>
    <x v="0"/>
  </r>
  <r>
    <x v="9"/>
    <x v="49"/>
    <x v="0"/>
  </r>
  <r>
    <x v="5"/>
    <x v="49"/>
    <x v="0"/>
  </r>
  <r>
    <x v="6"/>
    <x v="49"/>
    <x v="4"/>
  </r>
  <r>
    <x v="6"/>
    <x v="50"/>
    <x v="1"/>
  </r>
  <r>
    <x v="10"/>
    <x v="51"/>
    <x v="47"/>
  </r>
  <r>
    <x v="1"/>
    <x v="51"/>
    <x v="9"/>
  </r>
  <r>
    <x v="2"/>
    <x v="51"/>
    <x v="48"/>
  </r>
  <r>
    <x v="3"/>
    <x v="51"/>
    <x v="48"/>
  </r>
  <r>
    <x v="9"/>
    <x v="51"/>
    <x v="49"/>
  </r>
  <r>
    <x v="0"/>
    <x v="51"/>
    <x v="7"/>
  </r>
  <r>
    <x v="8"/>
    <x v="51"/>
    <x v="1"/>
  </r>
  <r>
    <x v="4"/>
    <x v="51"/>
    <x v="1"/>
  </r>
  <r>
    <x v="5"/>
    <x v="51"/>
    <x v="1"/>
  </r>
  <r>
    <x v="6"/>
    <x v="51"/>
    <x v="2"/>
  </r>
  <r>
    <x v="10"/>
    <x v="52"/>
    <x v="1"/>
  </r>
  <r>
    <x v="1"/>
    <x v="52"/>
    <x v="0"/>
  </r>
  <r>
    <x v="3"/>
    <x v="52"/>
    <x v="1"/>
  </r>
  <r>
    <x v="9"/>
    <x v="52"/>
    <x v="1"/>
  </r>
  <r>
    <x v="8"/>
    <x v="52"/>
    <x v="1"/>
  </r>
  <r>
    <x v="4"/>
    <x v="52"/>
    <x v="0"/>
  </r>
  <r>
    <x v="5"/>
    <x v="52"/>
    <x v="1"/>
  </r>
  <r>
    <x v="6"/>
    <x v="52"/>
    <x v="1"/>
  </r>
  <r>
    <x v="7"/>
    <x v="52"/>
    <x v="0"/>
  </r>
  <r>
    <x v="10"/>
    <x v="53"/>
    <x v="40"/>
  </r>
  <r>
    <x v="1"/>
    <x v="53"/>
    <x v="0"/>
  </r>
  <r>
    <x v="2"/>
    <x v="53"/>
    <x v="1"/>
  </r>
  <r>
    <x v="3"/>
    <x v="53"/>
    <x v="10"/>
  </r>
  <r>
    <x v="9"/>
    <x v="53"/>
    <x v="50"/>
  </r>
  <r>
    <x v="0"/>
    <x v="53"/>
    <x v="11"/>
  </r>
  <r>
    <x v="8"/>
    <x v="53"/>
    <x v="11"/>
  </r>
  <r>
    <x v="4"/>
    <x v="53"/>
    <x v="47"/>
  </r>
  <r>
    <x v="5"/>
    <x v="53"/>
    <x v="51"/>
  </r>
  <r>
    <x v="6"/>
    <x v="53"/>
    <x v="5"/>
  </r>
  <r>
    <x v="10"/>
    <x v="54"/>
    <x v="41"/>
  </r>
  <r>
    <x v="1"/>
    <x v="54"/>
    <x v="9"/>
  </r>
  <r>
    <x v="2"/>
    <x v="54"/>
    <x v="5"/>
  </r>
  <r>
    <x v="3"/>
    <x v="54"/>
    <x v="13"/>
  </r>
  <r>
    <x v="9"/>
    <x v="54"/>
    <x v="51"/>
  </r>
  <r>
    <x v="0"/>
    <x v="54"/>
    <x v="52"/>
  </r>
  <r>
    <x v="8"/>
    <x v="54"/>
    <x v="9"/>
  </r>
  <r>
    <x v="4"/>
    <x v="54"/>
    <x v="4"/>
  </r>
  <r>
    <x v="5"/>
    <x v="54"/>
    <x v="1"/>
  </r>
  <r>
    <x v="6"/>
    <x v="54"/>
    <x v="53"/>
  </r>
  <r>
    <x v="7"/>
    <x v="54"/>
    <x v="0"/>
  </r>
  <r>
    <x v="10"/>
    <x v="55"/>
    <x v="0"/>
  </r>
  <r>
    <x v="2"/>
    <x v="55"/>
    <x v="4"/>
  </r>
  <r>
    <x v="9"/>
    <x v="55"/>
    <x v="1"/>
  </r>
  <r>
    <x v="8"/>
    <x v="55"/>
    <x v="1"/>
  </r>
  <r>
    <x v="4"/>
    <x v="55"/>
    <x v="0"/>
  </r>
  <r>
    <x v="5"/>
    <x v="55"/>
    <x v="1"/>
  </r>
  <r>
    <x v="6"/>
    <x v="55"/>
    <x v="0"/>
  </r>
  <r>
    <x v="4"/>
    <x v="56"/>
    <x v="0"/>
  </r>
  <r>
    <x v="2"/>
    <x v="57"/>
    <x v="0"/>
  </r>
  <r>
    <x v="3"/>
    <x v="57"/>
    <x v="1"/>
  </r>
  <r>
    <x v="0"/>
    <x v="57"/>
    <x v="0"/>
  </r>
  <r>
    <x v="4"/>
    <x v="57"/>
    <x v="0"/>
  </r>
  <r>
    <x v="6"/>
    <x v="58"/>
    <x v="0"/>
  </r>
  <r>
    <x v="1"/>
    <x v="59"/>
    <x v="1"/>
  </r>
  <r>
    <x v="2"/>
    <x v="59"/>
    <x v="1"/>
  </r>
  <r>
    <x v="3"/>
    <x v="59"/>
    <x v="0"/>
  </r>
  <r>
    <x v="10"/>
    <x v="60"/>
    <x v="5"/>
  </r>
  <r>
    <x v="2"/>
    <x v="60"/>
    <x v="0"/>
  </r>
  <r>
    <x v="9"/>
    <x v="60"/>
    <x v="0"/>
  </r>
  <r>
    <x v="0"/>
    <x v="60"/>
    <x v="1"/>
  </r>
  <r>
    <x v="8"/>
    <x v="60"/>
    <x v="0"/>
  </r>
  <r>
    <x v="4"/>
    <x v="60"/>
    <x v="1"/>
  </r>
  <r>
    <x v="5"/>
    <x v="60"/>
    <x v="0"/>
  </r>
  <r>
    <x v="6"/>
    <x v="60"/>
    <x v="0"/>
  </r>
  <r>
    <x v="7"/>
    <x v="60"/>
    <x v="0"/>
  </r>
  <r>
    <x v="10"/>
    <x v="61"/>
    <x v="0"/>
  </r>
  <r>
    <x v="9"/>
    <x v="61"/>
    <x v="0"/>
  </r>
  <r>
    <x v="8"/>
    <x v="61"/>
    <x v="0"/>
  </r>
  <r>
    <x v="3"/>
    <x v="62"/>
    <x v="1"/>
  </r>
  <r>
    <x v="10"/>
    <x v="63"/>
    <x v="1"/>
  </r>
  <r>
    <x v="10"/>
    <x v="64"/>
    <x v="54"/>
  </r>
  <r>
    <x v="1"/>
    <x v="64"/>
    <x v="55"/>
  </r>
  <r>
    <x v="2"/>
    <x v="64"/>
    <x v="56"/>
  </r>
  <r>
    <x v="3"/>
    <x v="64"/>
    <x v="57"/>
  </r>
  <r>
    <x v="9"/>
    <x v="64"/>
    <x v="39"/>
  </r>
  <r>
    <x v="0"/>
    <x v="64"/>
    <x v="58"/>
  </r>
  <r>
    <x v="8"/>
    <x v="64"/>
    <x v="59"/>
  </r>
  <r>
    <x v="8"/>
    <x v="64"/>
    <x v="0"/>
  </r>
  <r>
    <x v="4"/>
    <x v="64"/>
    <x v="60"/>
  </r>
  <r>
    <x v="5"/>
    <x v="64"/>
    <x v="36"/>
  </r>
  <r>
    <x v="5"/>
    <x v="64"/>
    <x v="0"/>
  </r>
  <r>
    <x v="6"/>
    <x v="64"/>
    <x v="61"/>
  </r>
  <r>
    <x v="7"/>
    <x v="64"/>
    <x v="62"/>
  </r>
  <r>
    <x v="7"/>
    <x v="64"/>
    <x v="9"/>
  </r>
  <r>
    <x v="10"/>
    <x v="65"/>
    <x v="2"/>
  </r>
  <r>
    <x v="3"/>
    <x v="65"/>
    <x v="1"/>
  </r>
  <r>
    <x v="9"/>
    <x v="65"/>
    <x v="4"/>
  </r>
  <r>
    <x v="8"/>
    <x v="65"/>
    <x v="1"/>
  </r>
  <r>
    <x v="4"/>
    <x v="65"/>
    <x v="2"/>
  </r>
  <r>
    <x v="5"/>
    <x v="65"/>
    <x v="2"/>
  </r>
  <r>
    <x v="6"/>
    <x v="65"/>
    <x v="0"/>
  </r>
  <r>
    <x v="10"/>
    <x v="66"/>
    <x v="0"/>
  </r>
  <r>
    <x v="10"/>
    <x v="67"/>
    <x v="4"/>
  </r>
  <r>
    <x v="1"/>
    <x v="67"/>
    <x v="0"/>
  </r>
  <r>
    <x v="2"/>
    <x v="67"/>
    <x v="1"/>
  </r>
  <r>
    <x v="3"/>
    <x v="67"/>
    <x v="0"/>
  </r>
  <r>
    <x v="9"/>
    <x v="67"/>
    <x v="1"/>
  </r>
  <r>
    <x v="8"/>
    <x v="67"/>
    <x v="4"/>
  </r>
  <r>
    <x v="4"/>
    <x v="67"/>
    <x v="0"/>
  </r>
  <r>
    <x v="5"/>
    <x v="67"/>
    <x v="4"/>
  </r>
  <r>
    <x v="6"/>
    <x v="67"/>
    <x v="0"/>
  </r>
  <r>
    <x v="7"/>
    <x v="67"/>
    <x v="1"/>
  </r>
  <r>
    <x v="0"/>
    <x v="68"/>
    <x v="0"/>
  </r>
  <r>
    <x v="8"/>
    <x v="68"/>
    <x v="49"/>
  </r>
  <r>
    <x v="4"/>
    <x v="68"/>
    <x v="10"/>
  </r>
  <r>
    <x v="5"/>
    <x v="68"/>
    <x v="49"/>
  </r>
  <r>
    <x v="6"/>
    <x v="68"/>
    <x v="4"/>
  </r>
  <r>
    <x v="7"/>
    <x v="68"/>
    <x v="4"/>
  </r>
  <r>
    <x v="9"/>
    <x v="69"/>
    <x v="0"/>
  </r>
  <r>
    <x v="0"/>
    <x v="69"/>
    <x v="1"/>
  </r>
  <r>
    <x v="8"/>
    <x v="69"/>
    <x v="0"/>
  </r>
  <r>
    <x v="4"/>
    <x v="69"/>
    <x v="0"/>
  </r>
  <r>
    <x v="10"/>
    <x v="70"/>
    <x v="0"/>
  </r>
  <r>
    <x v="1"/>
    <x v="70"/>
    <x v="0"/>
  </r>
  <r>
    <x v="10"/>
    <x v="71"/>
    <x v="63"/>
  </r>
  <r>
    <x v="1"/>
    <x v="71"/>
    <x v="64"/>
  </r>
  <r>
    <x v="2"/>
    <x v="71"/>
    <x v="47"/>
  </r>
  <r>
    <x v="3"/>
    <x v="71"/>
    <x v="6"/>
  </r>
  <r>
    <x v="9"/>
    <x v="71"/>
    <x v="4"/>
  </r>
  <r>
    <x v="0"/>
    <x v="71"/>
    <x v="48"/>
  </r>
  <r>
    <x v="8"/>
    <x v="71"/>
    <x v="1"/>
  </r>
  <r>
    <x v="4"/>
    <x v="71"/>
    <x v="0"/>
  </r>
  <r>
    <x v="5"/>
    <x v="71"/>
    <x v="18"/>
  </r>
  <r>
    <x v="6"/>
    <x v="71"/>
    <x v="6"/>
  </r>
  <r>
    <x v="7"/>
    <x v="71"/>
    <x v="10"/>
  </r>
  <r>
    <x v="10"/>
    <x v="72"/>
    <x v="0"/>
  </r>
  <r>
    <x v="1"/>
    <x v="72"/>
    <x v="4"/>
  </r>
  <r>
    <x v="2"/>
    <x v="72"/>
    <x v="49"/>
  </r>
  <r>
    <x v="9"/>
    <x v="72"/>
    <x v="1"/>
  </r>
  <r>
    <x v="0"/>
    <x v="72"/>
    <x v="7"/>
  </r>
  <r>
    <x v="8"/>
    <x v="72"/>
    <x v="5"/>
  </r>
  <r>
    <x v="5"/>
    <x v="72"/>
    <x v="0"/>
  </r>
  <r>
    <x v="7"/>
    <x v="72"/>
    <x v="2"/>
  </r>
  <r>
    <x v="0"/>
    <x v="73"/>
    <x v="0"/>
  </r>
  <r>
    <x v="1"/>
    <x v="74"/>
    <x v="12"/>
  </r>
  <r>
    <x v="2"/>
    <x v="74"/>
    <x v="64"/>
  </r>
  <r>
    <x v="3"/>
    <x v="74"/>
    <x v="0"/>
  </r>
  <r>
    <x v="9"/>
    <x v="74"/>
    <x v="1"/>
  </r>
  <r>
    <x v="8"/>
    <x v="74"/>
    <x v="9"/>
  </r>
  <r>
    <x v="4"/>
    <x v="74"/>
    <x v="48"/>
  </r>
  <r>
    <x v="5"/>
    <x v="74"/>
    <x v="65"/>
  </r>
  <r>
    <x v="6"/>
    <x v="74"/>
    <x v="7"/>
  </r>
  <r>
    <x v="7"/>
    <x v="74"/>
    <x v="6"/>
  </r>
  <r>
    <x v="10"/>
    <x v="75"/>
    <x v="64"/>
  </r>
  <r>
    <x v="3"/>
    <x v="75"/>
    <x v="13"/>
  </r>
  <r>
    <x v="9"/>
    <x v="75"/>
    <x v="47"/>
  </r>
  <r>
    <x v="0"/>
    <x v="75"/>
    <x v="12"/>
  </r>
  <r>
    <x v="5"/>
    <x v="75"/>
    <x v="5"/>
  </r>
  <r>
    <x v="6"/>
    <x v="75"/>
    <x v="7"/>
  </r>
  <r>
    <x v="7"/>
    <x v="75"/>
    <x v="2"/>
  </r>
  <r>
    <x v="3"/>
    <x v="76"/>
    <x v="0"/>
  </r>
  <r>
    <x v="9"/>
    <x v="76"/>
    <x v="1"/>
  </r>
  <r>
    <x v="8"/>
    <x v="76"/>
    <x v="1"/>
  </r>
  <r>
    <x v="4"/>
    <x v="76"/>
    <x v="4"/>
  </r>
  <r>
    <x v="6"/>
    <x v="76"/>
    <x v="0"/>
  </r>
  <r>
    <x v="10"/>
    <x v="77"/>
    <x v="1"/>
  </r>
  <r>
    <x v="1"/>
    <x v="77"/>
    <x v="4"/>
  </r>
  <r>
    <x v="2"/>
    <x v="77"/>
    <x v="0"/>
  </r>
  <r>
    <x v="3"/>
    <x v="77"/>
    <x v="4"/>
  </r>
  <r>
    <x v="9"/>
    <x v="77"/>
    <x v="1"/>
  </r>
  <r>
    <x v="8"/>
    <x v="77"/>
    <x v="1"/>
  </r>
  <r>
    <x v="4"/>
    <x v="77"/>
    <x v="1"/>
  </r>
  <r>
    <x v="5"/>
    <x v="77"/>
    <x v="1"/>
  </r>
  <r>
    <x v="6"/>
    <x v="77"/>
    <x v="7"/>
  </r>
  <r>
    <x v="9"/>
    <x v="78"/>
    <x v="3"/>
  </r>
  <r>
    <x v="0"/>
    <x v="79"/>
    <x v="4"/>
  </r>
  <r>
    <x v="8"/>
    <x v="79"/>
    <x v="1"/>
  </r>
  <r>
    <x v="4"/>
    <x v="79"/>
    <x v="3"/>
  </r>
  <r>
    <x v="5"/>
    <x v="79"/>
    <x v="1"/>
  </r>
  <r>
    <x v="6"/>
    <x v="79"/>
    <x v="2"/>
  </r>
  <r>
    <x v="10"/>
    <x v="80"/>
    <x v="2"/>
  </r>
  <r>
    <x v="1"/>
    <x v="80"/>
    <x v="66"/>
  </r>
  <r>
    <x v="9"/>
    <x v="81"/>
    <x v="0"/>
  </r>
  <r>
    <x v="8"/>
    <x v="81"/>
    <x v="0"/>
  </r>
  <r>
    <x v="4"/>
    <x v="81"/>
    <x v="0"/>
  </r>
  <r>
    <x v="1"/>
    <x v="82"/>
    <x v="0"/>
  </r>
  <r>
    <x v="9"/>
    <x v="82"/>
    <x v="1"/>
  </r>
  <r>
    <x v="7"/>
    <x v="82"/>
    <x v="0"/>
  </r>
  <r>
    <x v="6"/>
    <x v="83"/>
    <x v="0"/>
  </r>
  <r>
    <x v="1"/>
    <x v="84"/>
    <x v="0"/>
  </r>
  <r>
    <x v="2"/>
    <x v="85"/>
    <x v="0"/>
  </r>
  <r>
    <x v="10"/>
    <x v="86"/>
    <x v="4"/>
  </r>
  <r>
    <x v="9"/>
    <x v="86"/>
    <x v="0"/>
  </r>
  <r>
    <x v="0"/>
    <x v="86"/>
    <x v="1"/>
  </r>
  <r>
    <x v="8"/>
    <x v="86"/>
    <x v="0"/>
  </r>
  <r>
    <x v="5"/>
    <x v="86"/>
    <x v="0"/>
  </r>
  <r>
    <x v="6"/>
    <x v="86"/>
    <x v="3"/>
  </r>
  <r>
    <x v="8"/>
    <x v="87"/>
    <x v="0"/>
  </r>
  <r>
    <x v="4"/>
    <x v="87"/>
    <x v="1"/>
  </r>
  <r>
    <x v="10"/>
    <x v="88"/>
    <x v="2"/>
  </r>
  <r>
    <x v="1"/>
    <x v="88"/>
    <x v="0"/>
  </r>
  <r>
    <x v="2"/>
    <x v="88"/>
    <x v="2"/>
  </r>
  <r>
    <x v="3"/>
    <x v="88"/>
    <x v="6"/>
  </r>
  <r>
    <x v="9"/>
    <x v="88"/>
    <x v="2"/>
  </r>
  <r>
    <x v="0"/>
    <x v="88"/>
    <x v="2"/>
  </r>
  <r>
    <x v="8"/>
    <x v="88"/>
    <x v="2"/>
  </r>
  <r>
    <x v="4"/>
    <x v="88"/>
    <x v="0"/>
  </r>
  <r>
    <x v="5"/>
    <x v="88"/>
    <x v="0"/>
  </r>
  <r>
    <x v="6"/>
    <x v="88"/>
    <x v="15"/>
  </r>
  <r>
    <x v="7"/>
    <x v="88"/>
    <x v="1"/>
  </r>
  <r>
    <x v="10"/>
    <x v="89"/>
    <x v="0"/>
  </r>
  <r>
    <x v="3"/>
    <x v="89"/>
    <x v="0"/>
  </r>
  <r>
    <x v="6"/>
    <x v="89"/>
    <x v="0"/>
  </r>
  <r>
    <x v="10"/>
    <x v="90"/>
    <x v="0"/>
  </r>
  <r>
    <x v="0"/>
    <x v="90"/>
    <x v="0"/>
  </r>
  <r>
    <x v="8"/>
    <x v="90"/>
    <x v="0"/>
  </r>
  <r>
    <x v="9"/>
    <x v="91"/>
    <x v="0"/>
  </r>
  <r>
    <x v="8"/>
    <x v="91"/>
    <x v="0"/>
  </r>
  <r>
    <x v="6"/>
    <x v="91"/>
    <x v="1"/>
  </r>
  <r>
    <x v="10"/>
    <x v="92"/>
    <x v="0"/>
  </r>
  <r>
    <x v="1"/>
    <x v="92"/>
    <x v="1"/>
  </r>
  <r>
    <x v="2"/>
    <x v="92"/>
    <x v="0"/>
  </r>
  <r>
    <x v="3"/>
    <x v="92"/>
    <x v="2"/>
  </r>
  <r>
    <x v="9"/>
    <x v="92"/>
    <x v="2"/>
  </r>
  <r>
    <x v="4"/>
    <x v="92"/>
    <x v="0"/>
  </r>
  <r>
    <x v="6"/>
    <x v="92"/>
    <x v="1"/>
  </r>
  <r>
    <x v="4"/>
    <x v="93"/>
    <x v="0"/>
  </r>
  <r>
    <x v="8"/>
    <x v="94"/>
    <x v="0"/>
  </r>
  <r>
    <x v="8"/>
    <x v="95"/>
    <x v="3"/>
  </r>
  <r>
    <x v="4"/>
    <x v="95"/>
    <x v="0"/>
  </r>
  <r>
    <x v="5"/>
    <x v="95"/>
    <x v="0"/>
  </r>
  <r>
    <x v="7"/>
    <x v="95"/>
    <x v="3"/>
  </r>
  <r>
    <x v="3"/>
    <x v="96"/>
    <x v="0"/>
  </r>
  <r>
    <x v="5"/>
    <x v="96"/>
    <x v="0"/>
  </r>
  <r>
    <x v="7"/>
    <x v="97"/>
    <x v="0"/>
  </r>
  <r>
    <x v="6"/>
    <x v="98"/>
    <x v="0"/>
  </r>
  <r>
    <x v="5"/>
    <x v="99"/>
    <x v="0"/>
  </r>
  <r>
    <x v="6"/>
    <x v="99"/>
    <x v="0"/>
  </r>
  <r>
    <x v="7"/>
    <x v="99"/>
    <x v="3"/>
  </r>
  <r>
    <x v="10"/>
    <x v="100"/>
    <x v="67"/>
  </r>
  <r>
    <x v="1"/>
    <x v="100"/>
    <x v="49"/>
  </r>
  <r>
    <x v="2"/>
    <x v="100"/>
    <x v="1"/>
  </r>
  <r>
    <x v="3"/>
    <x v="100"/>
    <x v="7"/>
  </r>
  <r>
    <x v="9"/>
    <x v="100"/>
    <x v="10"/>
  </r>
  <r>
    <x v="0"/>
    <x v="100"/>
    <x v="13"/>
  </r>
  <r>
    <x v="8"/>
    <x v="100"/>
    <x v="10"/>
  </r>
  <r>
    <x v="6"/>
    <x v="100"/>
    <x v="49"/>
  </r>
  <r>
    <x v="7"/>
    <x v="100"/>
    <x v="1"/>
  </r>
  <r>
    <x v="10"/>
    <x v="101"/>
    <x v="0"/>
  </r>
  <r>
    <x v="1"/>
    <x v="101"/>
    <x v="1"/>
  </r>
  <r>
    <x v="2"/>
    <x v="101"/>
    <x v="0"/>
  </r>
  <r>
    <x v="3"/>
    <x v="101"/>
    <x v="0"/>
  </r>
  <r>
    <x v="9"/>
    <x v="101"/>
    <x v="1"/>
  </r>
  <r>
    <x v="0"/>
    <x v="101"/>
    <x v="1"/>
  </r>
  <r>
    <x v="8"/>
    <x v="101"/>
    <x v="4"/>
  </r>
  <r>
    <x v="5"/>
    <x v="101"/>
    <x v="0"/>
  </r>
  <r>
    <x v="6"/>
    <x v="101"/>
    <x v="0"/>
  </r>
  <r>
    <x v="7"/>
    <x v="101"/>
    <x v="1"/>
  </r>
  <r>
    <x v="0"/>
    <x v="102"/>
    <x v="1"/>
  </r>
  <r>
    <x v="7"/>
    <x v="102"/>
    <x v="0"/>
  </r>
  <r>
    <x v="10"/>
    <x v="103"/>
    <x v="65"/>
  </r>
  <r>
    <x v="1"/>
    <x v="103"/>
    <x v="8"/>
  </r>
  <r>
    <x v="2"/>
    <x v="103"/>
    <x v="48"/>
  </r>
  <r>
    <x v="3"/>
    <x v="103"/>
    <x v="6"/>
  </r>
  <r>
    <x v="9"/>
    <x v="103"/>
    <x v="10"/>
  </r>
  <r>
    <x v="8"/>
    <x v="103"/>
    <x v="48"/>
  </r>
  <r>
    <x v="4"/>
    <x v="103"/>
    <x v="49"/>
  </r>
  <r>
    <x v="5"/>
    <x v="103"/>
    <x v="4"/>
  </r>
  <r>
    <x v="6"/>
    <x v="103"/>
    <x v="18"/>
  </r>
  <r>
    <x v="7"/>
    <x v="103"/>
    <x v="6"/>
  </r>
  <r>
    <x v="1"/>
    <x v="104"/>
    <x v="0"/>
  </r>
  <r>
    <x v="3"/>
    <x v="104"/>
    <x v="0"/>
  </r>
  <r>
    <x v="9"/>
    <x v="104"/>
    <x v="0"/>
  </r>
  <r>
    <x v="0"/>
    <x v="104"/>
    <x v="0"/>
  </r>
  <r>
    <x v="5"/>
    <x v="104"/>
    <x v="0"/>
  </r>
  <r>
    <x v="6"/>
    <x v="104"/>
    <x v="1"/>
  </r>
  <r>
    <x v="6"/>
    <x v="105"/>
    <x v="0"/>
  </r>
  <r>
    <x v="5"/>
    <x v="106"/>
    <x v="0"/>
  </r>
  <r>
    <x v="10"/>
    <x v="107"/>
    <x v="0"/>
  </r>
  <r>
    <x v="8"/>
    <x v="107"/>
    <x v="0"/>
  </r>
  <r>
    <x v="4"/>
    <x v="107"/>
    <x v="0"/>
  </r>
  <r>
    <x v="5"/>
    <x v="107"/>
    <x v="0"/>
  </r>
  <r>
    <x v="10"/>
    <x v="108"/>
    <x v="2"/>
  </r>
  <r>
    <x v="2"/>
    <x v="108"/>
    <x v="49"/>
  </r>
  <r>
    <x v="3"/>
    <x v="108"/>
    <x v="2"/>
  </r>
  <r>
    <x v="9"/>
    <x v="108"/>
    <x v="9"/>
  </r>
  <r>
    <x v="0"/>
    <x v="108"/>
    <x v="9"/>
  </r>
  <r>
    <x v="8"/>
    <x v="108"/>
    <x v="10"/>
  </r>
  <r>
    <x v="4"/>
    <x v="108"/>
    <x v="65"/>
  </r>
  <r>
    <x v="5"/>
    <x v="108"/>
    <x v="10"/>
  </r>
  <r>
    <x v="6"/>
    <x v="108"/>
    <x v="1"/>
  </r>
  <r>
    <x v="7"/>
    <x v="108"/>
    <x v="1"/>
  </r>
  <r>
    <x v="10"/>
    <x v="109"/>
    <x v="7"/>
  </r>
  <r>
    <x v="1"/>
    <x v="109"/>
    <x v="5"/>
  </r>
  <r>
    <x v="2"/>
    <x v="109"/>
    <x v="47"/>
  </r>
  <r>
    <x v="3"/>
    <x v="109"/>
    <x v="9"/>
  </r>
  <r>
    <x v="9"/>
    <x v="109"/>
    <x v="0"/>
  </r>
  <r>
    <x v="0"/>
    <x v="109"/>
    <x v="49"/>
  </r>
  <r>
    <x v="5"/>
    <x v="109"/>
    <x v="18"/>
  </r>
  <r>
    <x v="6"/>
    <x v="109"/>
    <x v="0"/>
  </r>
  <r>
    <x v="7"/>
    <x v="109"/>
    <x v="49"/>
  </r>
  <r>
    <x v="10"/>
    <x v="110"/>
    <x v="1"/>
  </r>
  <r>
    <x v="8"/>
    <x v="110"/>
    <x v="0"/>
  </r>
  <r>
    <x v="4"/>
    <x v="110"/>
    <x v="1"/>
  </r>
  <r>
    <x v="4"/>
    <x v="110"/>
    <x v="0"/>
  </r>
  <r>
    <x v="2"/>
    <x v="111"/>
    <x v="0"/>
  </r>
  <r>
    <x v="4"/>
    <x v="112"/>
    <x v="0"/>
  </r>
  <r>
    <x v="5"/>
    <x v="112"/>
    <x v="0"/>
  </r>
  <r>
    <x v="10"/>
    <x v="113"/>
    <x v="1"/>
  </r>
  <r>
    <x v="1"/>
    <x v="113"/>
    <x v="1"/>
  </r>
  <r>
    <x v="3"/>
    <x v="113"/>
    <x v="0"/>
  </r>
  <r>
    <x v="9"/>
    <x v="113"/>
    <x v="1"/>
  </r>
  <r>
    <x v="0"/>
    <x v="113"/>
    <x v="4"/>
  </r>
  <r>
    <x v="4"/>
    <x v="113"/>
    <x v="1"/>
  </r>
  <r>
    <x v="5"/>
    <x v="113"/>
    <x v="2"/>
  </r>
  <r>
    <x v="6"/>
    <x v="113"/>
    <x v="1"/>
  </r>
  <r>
    <x v="10"/>
    <x v="114"/>
    <x v="0"/>
  </r>
  <r>
    <x v="8"/>
    <x v="114"/>
    <x v="0"/>
  </r>
  <r>
    <x v="4"/>
    <x v="114"/>
    <x v="0"/>
  </r>
  <r>
    <x v="6"/>
    <x v="114"/>
    <x v="1"/>
  </r>
  <r>
    <x v="10"/>
    <x v="115"/>
    <x v="0"/>
  </r>
  <r>
    <x v="9"/>
    <x v="115"/>
    <x v="0"/>
  </r>
  <r>
    <x v="0"/>
    <x v="115"/>
    <x v="0"/>
  </r>
  <r>
    <x v="4"/>
    <x v="115"/>
    <x v="0"/>
  </r>
  <r>
    <x v="5"/>
    <x v="115"/>
    <x v="1"/>
  </r>
  <r>
    <x v="0"/>
    <x v="116"/>
    <x v="0"/>
  </r>
  <r>
    <x v="8"/>
    <x v="116"/>
    <x v="0"/>
  </r>
  <r>
    <x v="4"/>
    <x v="116"/>
    <x v="0"/>
  </r>
  <r>
    <x v="2"/>
    <x v="117"/>
    <x v="0"/>
  </r>
  <r>
    <x v="1"/>
    <x v="118"/>
    <x v="0"/>
  </r>
  <r>
    <x v="2"/>
    <x v="118"/>
    <x v="0"/>
  </r>
  <r>
    <x v="0"/>
    <x v="118"/>
    <x v="0"/>
  </r>
  <r>
    <x v="8"/>
    <x v="119"/>
    <x v="0"/>
  </r>
  <r>
    <x v="5"/>
    <x v="119"/>
    <x v="2"/>
  </r>
  <r>
    <x v="7"/>
    <x v="119"/>
    <x v="1"/>
  </r>
  <r>
    <x v="6"/>
    <x v="120"/>
    <x v="0"/>
  </r>
  <r>
    <x v="7"/>
    <x v="120"/>
    <x v="0"/>
  </r>
  <r>
    <x v="8"/>
    <x v="121"/>
    <x v="0"/>
  </r>
  <r>
    <x v="5"/>
    <x v="121"/>
    <x v="0"/>
  </r>
  <r>
    <x v="10"/>
    <x v="122"/>
    <x v="0"/>
  </r>
  <r>
    <x v="1"/>
    <x v="122"/>
    <x v="2"/>
  </r>
  <r>
    <x v="10"/>
    <x v="123"/>
    <x v="0"/>
  </r>
  <r>
    <x v="1"/>
    <x v="123"/>
    <x v="0"/>
  </r>
  <r>
    <x v="2"/>
    <x v="123"/>
    <x v="4"/>
  </r>
  <r>
    <x v="3"/>
    <x v="123"/>
    <x v="0"/>
  </r>
  <r>
    <x v="0"/>
    <x v="123"/>
    <x v="1"/>
  </r>
  <r>
    <x v="10"/>
    <x v="124"/>
    <x v="1"/>
  </r>
  <r>
    <x v="9"/>
    <x v="124"/>
    <x v="0"/>
  </r>
  <r>
    <x v="10"/>
    <x v="125"/>
    <x v="1"/>
  </r>
  <r>
    <x v="2"/>
    <x v="125"/>
    <x v="0"/>
  </r>
  <r>
    <x v="3"/>
    <x v="125"/>
    <x v="1"/>
  </r>
  <r>
    <x v="0"/>
    <x v="125"/>
    <x v="0"/>
  </r>
  <r>
    <x v="8"/>
    <x v="125"/>
    <x v="0"/>
  </r>
  <r>
    <x v="4"/>
    <x v="125"/>
    <x v="0"/>
  </r>
  <r>
    <x v="6"/>
    <x v="125"/>
    <x v="0"/>
  </r>
  <r>
    <x v="7"/>
    <x v="125"/>
    <x v="0"/>
  </r>
  <r>
    <x v="10"/>
    <x v="126"/>
    <x v="0"/>
  </r>
  <r>
    <x v="1"/>
    <x v="126"/>
    <x v="0"/>
  </r>
  <r>
    <x v="2"/>
    <x v="126"/>
    <x v="0"/>
  </r>
  <r>
    <x v="5"/>
    <x v="126"/>
    <x v="1"/>
  </r>
  <r>
    <x v="6"/>
    <x v="126"/>
    <x v="4"/>
  </r>
  <r>
    <x v="7"/>
    <x v="126"/>
    <x v="0"/>
  </r>
  <r>
    <x v="10"/>
    <x v="127"/>
    <x v="4"/>
  </r>
  <r>
    <x v="1"/>
    <x v="127"/>
    <x v="0"/>
  </r>
  <r>
    <x v="0"/>
    <x v="127"/>
    <x v="0"/>
  </r>
  <r>
    <x v="5"/>
    <x v="127"/>
    <x v="0"/>
  </r>
  <r>
    <x v="6"/>
    <x v="127"/>
    <x v="1"/>
  </r>
  <r>
    <x v="10"/>
    <x v="128"/>
    <x v="0"/>
  </r>
  <r>
    <x v="6"/>
    <x v="129"/>
    <x v="4"/>
  </r>
  <r>
    <x v="9"/>
    <x v="130"/>
    <x v="0"/>
  </r>
  <r>
    <x v="4"/>
    <x v="130"/>
    <x v="0"/>
  </r>
  <r>
    <x v="5"/>
    <x v="130"/>
    <x v="0"/>
  </r>
  <r>
    <x v="7"/>
    <x v="130"/>
    <x v="1"/>
  </r>
  <r>
    <x v="10"/>
    <x v="131"/>
    <x v="6"/>
  </r>
  <r>
    <x v="1"/>
    <x v="131"/>
    <x v="1"/>
  </r>
  <r>
    <x v="2"/>
    <x v="131"/>
    <x v="4"/>
  </r>
  <r>
    <x v="3"/>
    <x v="131"/>
    <x v="0"/>
  </r>
  <r>
    <x v="9"/>
    <x v="131"/>
    <x v="2"/>
  </r>
  <r>
    <x v="0"/>
    <x v="131"/>
    <x v="1"/>
  </r>
  <r>
    <x v="8"/>
    <x v="131"/>
    <x v="2"/>
  </r>
  <r>
    <x v="4"/>
    <x v="131"/>
    <x v="0"/>
  </r>
  <r>
    <x v="5"/>
    <x v="131"/>
    <x v="4"/>
  </r>
  <r>
    <x v="7"/>
    <x v="131"/>
    <x v="4"/>
  </r>
  <r>
    <x v="5"/>
    <x v="132"/>
    <x v="1"/>
  </r>
  <r>
    <x v="6"/>
    <x v="133"/>
    <x v="2"/>
  </r>
  <r>
    <x v="10"/>
    <x v="134"/>
    <x v="4"/>
  </r>
  <r>
    <x v="1"/>
    <x v="134"/>
    <x v="4"/>
  </r>
  <r>
    <x v="2"/>
    <x v="134"/>
    <x v="0"/>
  </r>
  <r>
    <x v="9"/>
    <x v="134"/>
    <x v="1"/>
  </r>
  <r>
    <x v="4"/>
    <x v="134"/>
    <x v="0"/>
  </r>
  <r>
    <x v="7"/>
    <x v="134"/>
    <x v="0"/>
  </r>
  <r>
    <x v="10"/>
    <x v="135"/>
    <x v="4"/>
  </r>
  <r>
    <x v="1"/>
    <x v="135"/>
    <x v="0"/>
  </r>
  <r>
    <x v="2"/>
    <x v="135"/>
    <x v="2"/>
  </r>
  <r>
    <x v="0"/>
    <x v="135"/>
    <x v="0"/>
  </r>
  <r>
    <x v="8"/>
    <x v="135"/>
    <x v="0"/>
  </r>
  <r>
    <x v="4"/>
    <x v="135"/>
    <x v="2"/>
  </r>
  <r>
    <x v="6"/>
    <x v="135"/>
    <x v="0"/>
  </r>
  <r>
    <x v="7"/>
    <x v="135"/>
    <x v="0"/>
  </r>
  <r>
    <x v="10"/>
    <x v="136"/>
    <x v="1"/>
  </r>
  <r>
    <x v="1"/>
    <x v="137"/>
    <x v="0"/>
  </r>
  <r>
    <x v="2"/>
    <x v="137"/>
    <x v="0"/>
  </r>
  <r>
    <x v="3"/>
    <x v="137"/>
    <x v="0"/>
  </r>
  <r>
    <x v="9"/>
    <x v="137"/>
    <x v="0"/>
  </r>
  <r>
    <x v="4"/>
    <x v="137"/>
    <x v="1"/>
  </r>
  <r>
    <x v="5"/>
    <x v="137"/>
    <x v="0"/>
  </r>
  <r>
    <x v="7"/>
    <x v="137"/>
    <x v="0"/>
  </r>
  <r>
    <x v="10"/>
    <x v="138"/>
    <x v="1"/>
  </r>
  <r>
    <x v="1"/>
    <x v="138"/>
    <x v="1"/>
  </r>
  <r>
    <x v="3"/>
    <x v="138"/>
    <x v="0"/>
  </r>
  <r>
    <x v="9"/>
    <x v="138"/>
    <x v="7"/>
  </r>
  <r>
    <x v="0"/>
    <x v="138"/>
    <x v="0"/>
  </r>
  <r>
    <x v="8"/>
    <x v="138"/>
    <x v="0"/>
  </r>
  <r>
    <x v="4"/>
    <x v="138"/>
    <x v="0"/>
  </r>
  <r>
    <x v="5"/>
    <x v="138"/>
    <x v="2"/>
  </r>
  <r>
    <x v="6"/>
    <x v="138"/>
    <x v="5"/>
  </r>
  <r>
    <x v="7"/>
    <x v="138"/>
    <x v="4"/>
  </r>
  <r>
    <x v="10"/>
    <x v="139"/>
    <x v="68"/>
  </r>
  <r>
    <x v="1"/>
    <x v="139"/>
    <x v="10"/>
  </r>
  <r>
    <x v="2"/>
    <x v="139"/>
    <x v="6"/>
  </r>
  <r>
    <x v="3"/>
    <x v="139"/>
    <x v="10"/>
  </r>
  <r>
    <x v="9"/>
    <x v="139"/>
    <x v="69"/>
  </r>
  <r>
    <x v="0"/>
    <x v="139"/>
    <x v="62"/>
  </r>
  <r>
    <x v="8"/>
    <x v="139"/>
    <x v="1"/>
  </r>
  <r>
    <x v="5"/>
    <x v="139"/>
    <x v="70"/>
  </r>
  <r>
    <x v="6"/>
    <x v="139"/>
    <x v="11"/>
  </r>
  <r>
    <x v="7"/>
    <x v="139"/>
    <x v="67"/>
  </r>
  <r>
    <x v="2"/>
    <x v="140"/>
    <x v="0"/>
  </r>
  <r>
    <x v="9"/>
    <x v="141"/>
    <x v="0"/>
  </r>
  <r>
    <x v="8"/>
    <x v="141"/>
    <x v="0"/>
  </r>
  <r>
    <x v="7"/>
    <x v="141"/>
    <x v="0"/>
  </r>
  <r>
    <x v="1"/>
    <x v="142"/>
    <x v="0"/>
  </r>
  <r>
    <x v="2"/>
    <x v="143"/>
    <x v="0"/>
  </r>
  <r>
    <x v="0"/>
    <x v="143"/>
    <x v="1"/>
  </r>
  <r>
    <x v="3"/>
    <x v="144"/>
    <x v="0"/>
  </r>
  <r>
    <x v="0"/>
    <x v="144"/>
    <x v="0"/>
  </r>
  <r>
    <x v="4"/>
    <x v="144"/>
    <x v="1"/>
  </r>
  <r>
    <x v="6"/>
    <x v="144"/>
    <x v="6"/>
  </r>
  <r>
    <x v="1"/>
    <x v="145"/>
    <x v="4"/>
  </r>
  <r>
    <x v="2"/>
    <x v="146"/>
    <x v="0"/>
  </r>
  <r>
    <x v="10"/>
    <x v="147"/>
    <x v="1"/>
  </r>
  <r>
    <x v="1"/>
    <x v="147"/>
    <x v="12"/>
  </r>
  <r>
    <x v="2"/>
    <x v="147"/>
    <x v="4"/>
  </r>
  <r>
    <x v="9"/>
    <x v="147"/>
    <x v="6"/>
  </r>
  <r>
    <x v="0"/>
    <x v="147"/>
    <x v="47"/>
  </r>
  <r>
    <x v="8"/>
    <x v="147"/>
    <x v="1"/>
  </r>
  <r>
    <x v="4"/>
    <x v="147"/>
    <x v="0"/>
  </r>
  <r>
    <x v="10"/>
    <x v="148"/>
    <x v="71"/>
  </r>
  <r>
    <x v="1"/>
    <x v="148"/>
    <x v="7"/>
  </r>
  <r>
    <x v="2"/>
    <x v="148"/>
    <x v="10"/>
  </r>
  <r>
    <x v="3"/>
    <x v="148"/>
    <x v="0"/>
  </r>
  <r>
    <x v="9"/>
    <x v="148"/>
    <x v="2"/>
  </r>
  <r>
    <x v="0"/>
    <x v="148"/>
    <x v="6"/>
  </r>
  <r>
    <x v="8"/>
    <x v="148"/>
    <x v="5"/>
  </r>
  <r>
    <x v="4"/>
    <x v="148"/>
    <x v="6"/>
  </r>
  <r>
    <x v="5"/>
    <x v="148"/>
    <x v="6"/>
  </r>
  <r>
    <x v="6"/>
    <x v="148"/>
    <x v="65"/>
  </r>
  <r>
    <x v="7"/>
    <x v="148"/>
    <x v="4"/>
  </r>
  <r>
    <x v="10"/>
    <x v="149"/>
    <x v="25"/>
  </r>
  <r>
    <x v="1"/>
    <x v="149"/>
    <x v="42"/>
  </r>
  <r>
    <x v="2"/>
    <x v="149"/>
    <x v="59"/>
  </r>
  <r>
    <x v="3"/>
    <x v="149"/>
    <x v="72"/>
  </r>
  <r>
    <x v="3"/>
    <x v="149"/>
    <x v="0"/>
  </r>
  <r>
    <x v="9"/>
    <x v="149"/>
    <x v="22"/>
  </r>
  <r>
    <x v="0"/>
    <x v="149"/>
    <x v="70"/>
  </r>
  <r>
    <x v="8"/>
    <x v="149"/>
    <x v="51"/>
  </r>
  <r>
    <x v="4"/>
    <x v="149"/>
    <x v="21"/>
  </r>
  <r>
    <x v="5"/>
    <x v="149"/>
    <x v="21"/>
  </r>
  <r>
    <x v="6"/>
    <x v="149"/>
    <x v="73"/>
  </r>
  <r>
    <x v="7"/>
    <x v="149"/>
    <x v="74"/>
  </r>
  <r>
    <x v="10"/>
    <x v="150"/>
    <x v="38"/>
  </r>
  <r>
    <x v="1"/>
    <x v="150"/>
    <x v="75"/>
  </r>
  <r>
    <x v="2"/>
    <x v="150"/>
    <x v="15"/>
  </r>
  <r>
    <x v="3"/>
    <x v="150"/>
    <x v="2"/>
  </r>
  <r>
    <x v="9"/>
    <x v="150"/>
    <x v="62"/>
  </r>
  <r>
    <x v="9"/>
    <x v="150"/>
    <x v="0"/>
  </r>
  <r>
    <x v="0"/>
    <x v="150"/>
    <x v="76"/>
  </r>
  <r>
    <x v="8"/>
    <x v="150"/>
    <x v="5"/>
  </r>
  <r>
    <x v="8"/>
    <x v="150"/>
    <x v="1"/>
  </r>
  <r>
    <x v="4"/>
    <x v="150"/>
    <x v="65"/>
  </r>
  <r>
    <x v="5"/>
    <x v="150"/>
    <x v="5"/>
  </r>
  <r>
    <x v="6"/>
    <x v="150"/>
    <x v="77"/>
  </r>
  <r>
    <x v="7"/>
    <x v="150"/>
    <x v="10"/>
  </r>
  <r>
    <x v="1"/>
    <x v="151"/>
    <x v="0"/>
  </r>
  <r>
    <x v="2"/>
    <x v="151"/>
    <x v="0"/>
  </r>
  <r>
    <x v="9"/>
    <x v="151"/>
    <x v="0"/>
  </r>
  <r>
    <x v="0"/>
    <x v="151"/>
    <x v="1"/>
  </r>
  <r>
    <x v="4"/>
    <x v="151"/>
    <x v="1"/>
  </r>
  <r>
    <x v="5"/>
    <x v="151"/>
    <x v="0"/>
  </r>
  <r>
    <x v="6"/>
    <x v="151"/>
    <x v="0"/>
  </r>
  <r>
    <x v="7"/>
    <x v="152"/>
    <x v="65"/>
  </r>
  <r>
    <x v="10"/>
    <x v="153"/>
    <x v="75"/>
  </r>
  <r>
    <x v="1"/>
    <x v="153"/>
    <x v="8"/>
  </r>
  <r>
    <x v="5"/>
    <x v="153"/>
    <x v="4"/>
  </r>
  <r>
    <x v="6"/>
    <x v="153"/>
    <x v="11"/>
  </r>
  <r>
    <x v="7"/>
    <x v="153"/>
    <x v="32"/>
  </r>
  <r>
    <x v="10"/>
    <x v="154"/>
    <x v="3"/>
  </r>
  <r>
    <x v="1"/>
    <x v="154"/>
    <x v="1"/>
  </r>
  <r>
    <x v="2"/>
    <x v="154"/>
    <x v="1"/>
  </r>
  <r>
    <x v="10"/>
    <x v="155"/>
    <x v="7"/>
  </r>
  <r>
    <x v="1"/>
    <x v="155"/>
    <x v="1"/>
  </r>
  <r>
    <x v="9"/>
    <x v="155"/>
    <x v="6"/>
  </r>
  <r>
    <x v="0"/>
    <x v="155"/>
    <x v="6"/>
  </r>
  <r>
    <x v="8"/>
    <x v="155"/>
    <x v="2"/>
  </r>
  <r>
    <x v="6"/>
    <x v="155"/>
    <x v="3"/>
  </r>
  <r>
    <x v="7"/>
    <x v="155"/>
    <x v="3"/>
  </r>
  <r>
    <x v="10"/>
    <x v="156"/>
    <x v="0"/>
  </r>
  <r>
    <x v="6"/>
    <x v="156"/>
    <x v="0"/>
  </r>
  <r>
    <x v="7"/>
    <x v="156"/>
    <x v="0"/>
  </r>
  <r>
    <x v="3"/>
    <x v="157"/>
    <x v="0"/>
  </r>
  <r>
    <x v="10"/>
    <x v="158"/>
    <x v="0"/>
  </r>
  <r>
    <x v="3"/>
    <x v="158"/>
    <x v="1"/>
  </r>
  <r>
    <x v="9"/>
    <x v="158"/>
    <x v="1"/>
  </r>
  <r>
    <x v="0"/>
    <x v="158"/>
    <x v="0"/>
  </r>
  <r>
    <x v="8"/>
    <x v="158"/>
    <x v="1"/>
  </r>
  <r>
    <x v="6"/>
    <x v="158"/>
    <x v="0"/>
  </r>
  <r>
    <x v="3"/>
    <x v="159"/>
    <x v="1"/>
  </r>
  <r>
    <x v="9"/>
    <x v="159"/>
    <x v="2"/>
  </r>
  <r>
    <x v="0"/>
    <x v="159"/>
    <x v="0"/>
  </r>
  <r>
    <x v="0"/>
    <x v="160"/>
    <x v="0"/>
  </r>
  <r>
    <x v="0"/>
    <x v="161"/>
    <x v="0"/>
  </r>
  <r>
    <x v="10"/>
    <x v="162"/>
    <x v="1"/>
  </r>
  <r>
    <x v="9"/>
    <x v="162"/>
    <x v="0"/>
  </r>
  <r>
    <x v="9"/>
    <x v="162"/>
    <x v="0"/>
  </r>
  <r>
    <x v="0"/>
    <x v="162"/>
    <x v="3"/>
  </r>
  <r>
    <x v="4"/>
    <x v="162"/>
    <x v="0"/>
  </r>
  <r>
    <x v="10"/>
    <x v="163"/>
    <x v="0"/>
  </r>
  <r>
    <x v="3"/>
    <x v="163"/>
    <x v="0"/>
  </r>
  <r>
    <x v="9"/>
    <x v="163"/>
    <x v="0"/>
  </r>
  <r>
    <x v="0"/>
    <x v="163"/>
    <x v="0"/>
  </r>
  <r>
    <x v="8"/>
    <x v="163"/>
    <x v="4"/>
  </r>
  <r>
    <x v="5"/>
    <x v="163"/>
    <x v="0"/>
  </r>
  <r>
    <x v="7"/>
    <x v="163"/>
    <x v="0"/>
  </r>
  <r>
    <x v="1"/>
    <x v="164"/>
    <x v="8"/>
  </r>
  <r>
    <x v="2"/>
    <x v="164"/>
    <x v="6"/>
  </r>
  <r>
    <x v="10"/>
    <x v="165"/>
    <x v="8"/>
  </r>
  <r>
    <x v="1"/>
    <x v="165"/>
    <x v="9"/>
  </r>
  <r>
    <x v="2"/>
    <x v="165"/>
    <x v="15"/>
  </r>
  <r>
    <x v="3"/>
    <x v="165"/>
    <x v="8"/>
  </r>
  <r>
    <x v="9"/>
    <x v="165"/>
    <x v="68"/>
  </r>
  <r>
    <x v="0"/>
    <x v="165"/>
    <x v="71"/>
  </r>
  <r>
    <x v="8"/>
    <x v="165"/>
    <x v="71"/>
  </r>
  <r>
    <x v="4"/>
    <x v="165"/>
    <x v="64"/>
  </r>
  <r>
    <x v="5"/>
    <x v="165"/>
    <x v="77"/>
  </r>
  <r>
    <x v="6"/>
    <x v="165"/>
    <x v="40"/>
  </r>
  <r>
    <x v="7"/>
    <x v="165"/>
    <x v="22"/>
  </r>
  <r>
    <x v="10"/>
    <x v="166"/>
    <x v="1"/>
  </r>
  <r>
    <x v="9"/>
    <x v="166"/>
    <x v="0"/>
  </r>
  <r>
    <x v="9"/>
    <x v="166"/>
    <x v="0"/>
  </r>
  <r>
    <x v="10"/>
    <x v="167"/>
    <x v="0"/>
  </r>
  <r>
    <x v="1"/>
    <x v="167"/>
    <x v="0"/>
  </r>
  <r>
    <x v="9"/>
    <x v="167"/>
    <x v="0"/>
  </r>
  <r>
    <x v="8"/>
    <x v="167"/>
    <x v="0"/>
  </r>
  <r>
    <x v="5"/>
    <x v="168"/>
    <x v="0"/>
  </r>
  <r>
    <x v="10"/>
    <x v="169"/>
    <x v="49"/>
  </r>
  <r>
    <x v="1"/>
    <x v="169"/>
    <x v="7"/>
  </r>
  <r>
    <x v="2"/>
    <x v="169"/>
    <x v="2"/>
  </r>
  <r>
    <x v="2"/>
    <x v="169"/>
    <x v="0"/>
  </r>
  <r>
    <x v="3"/>
    <x v="169"/>
    <x v="2"/>
  </r>
  <r>
    <x v="9"/>
    <x v="169"/>
    <x v="4"/>
  </r>
  <r>
    <x v="0"/>
    <x v="169"/>
    <x v="9"/>
  </r>
  <r>
    <x v="8"/>
    <x v="169"/>
    <x v="4"/>
  </r>
  <r>
    <x v="4"/>
    <x v="169"/>
    <x v="1"/>
  </r>
  <r>
    <x v="5"/>
    <x v="169"/>
    <x v="2"/>
  </r>
  <r>
    <x v="6"/>
    <x v="169"/>
    <x v="2"/>
  </r>
  <r>
    <x v="7"/>
    <x v="169"/>
    <x v="5"/>
  </r>
  <r>
    <x v="10"/>
    <x v="170"/>
    <x v="1"/>
  </r>
  <r>
    <x v="1"/>
    <x v="170"/>
    <x v="2"/>
  </r>
  <r>
    <x v="2"/>
    <x v="170"/>
    <x v="10"/>
  </r>
  <r>
    <x v="3"/>
    <x v="170"/>
    <x v="5"/>
  </r>
  <r>
    <x v="9"/>
    <x v="170"/>
    <x v="2"/>
  </r>
  <r>
    <x v="0"/>
    <x v="170"/>
    <x v="10"/>
  </r>
  <r>
    <x v="8"/>
    <x v="170"/>
    <x v="10"/>
  </r>
  <r>
    <x v="4"/>
    <x v="170"/>
    <x v="6"/>
  </r>
  <r>
    <x v="5"/>
    <x v="170"/>
    <x v="9"/>
  </r>
  <r>
    <x v="6"/>
    <x v="170"/>
    <x v="6"/>
  </r>
  <r>
    <x v="7"/>
    <x v="170"/>
    <x v="6"/>
  </r>
  <r>
    <x v="10"/>
    <x v="171"/>
    <x v="19"/>
  </r>
  <r>
    <x v="1"/>
    <x v="171"/>
    <x v="53"/>
  </r>
  <r>
    <x v="2"/>
    <x v="171"/>
    <x v="40"/>
  </r>
  <r>
    <x v="3"/>
    <x v="171"/>
    <x v="50"/>
  </r>
  <r>
    <x v="9"/>
    <x v="171"/>
    <x v="40"/>
  </r>
  <r>
    <x v="0"/>
    <x v="171"/>
    <x v="33"/>
  </r>
  <r>
    <x v="8"/>
    <x v="171"/>
    <x v="68"/>
  </r>
  <r>
    <x v="8"/>
    <x v="171"/>
    <x v="1"/>
  </r>
  <r>
    <x v="4"/>
    <x v="171"/>
    <x v="78"/>
  </r>
  <r>
    <x v="4"/>
    <x v="171"/>
    <x v="0"/>
  </r>
  <r>
    <x v="5"/>
    <x v="171"/>
    <x v="78"/>
  </r>
  <r>
    <x v="5"/>
    <x v="171"/>
    <x v="1"/>
  </r>
  <r>
    <x v="6"/>
    <x v="171"/>
    <x v="79"/>
  </r>
  <r>
    <x v="7"/>
    <x v="171"/>
    <x v="80"/>
  </r>
  <r>
    <x v="10"/>
    <x v="172"/>
    <x v="1"/>
  </r>
  <r>
    <x v="2"/>
    <x v="172"/>
    <x v="4"/>
  </r>
  <r>
    <x v="3"/>
    <x v="172"/>
    <x v="6"/>
  </r>
  <r>
    <x v="9"/>
    <x v="172"/>
    <x v="1"/>
  </r>
  <r>
    <x v="0"/>
    <x v="172"/>
    <x v="4"/>
  </r>
  <r>
    <x v="8"/>
    <x v="172"/>
    <x v="2"/>
  </r>
  <r>
    <x v="4"/>
    <x v="172"/>
    <x v="10"/>
  </r>
  <r>
    <x v="5"/>
    <x v="172"/>
    <x v="1"/>
  </r>
  <r>
    <x v="6"/>
    <x v="172"/>
    <x v="2"/>
  </r>
  <r>
    <x v="7"/>
    <x v="172"/>
    <x v="2"/>
  </r>
  <r>
    <x v="1"/>
    <x v="173"/>
    <x v="0"/>
  </r>
  <r>
    <x v="0"/>
    <x v="173"/>
    <x v="0"/>
  </r>
  <r>
    <x v="8"/>
    <x v="173"/>
    <x v="0"/>
  </r>
  <r>
    <x v="6"/>
    <x v="173"/>
    <x v="0"/>
  </r>
  <r>
    <x v="2"/>
    <x v="174"/>
    <x v="1"/>
  </r>
  <r>
    <x v="5"/>
    <x v="175"/>
    <x v="0"/>
  </r>
  <r>
    <x v="6"/>
    <x v="175"/>
    <x v="0"/>
  </r>
  <r>
    <x v="8"/>
    <x v="176"/>
    <x v="1"/>
  </r>
  <r>
    <x v="4"/>
    <x v="176"/>
    <x v="0"/>
  </r>
  <r>
    <x v="6"/>
    <x v="176"/>
    <x v="1"/>
  </r>
  <r>
    <x v="10"/>
    <x v="177"/>
    <x v="0"/>
  </r>
  <r>
    <x v="2"/>
    <x v="177"/>
    <x v="0"/>
  </r>
  <r>
    <x v="9"/>
    <x v="177"/>
    <x v="0"/>
  </r>
  <r>
    <x v="4"/>
    <x v="177"/>
    <x v="0"/>
  </r>
  <r>
    <x v="5"/>
    <x v="177"/>
    <x v="1"/>
  </r>
  <r>
    <x v="7"/>
    <x v="177"/>
    <x v="0"/>
  </r>
  <r>
    <x v="1"/>
    <x v="178"/>
    <x v="0"/>
  </r>
  <r>
    <x v="2"/>
    <x v="178"/>
    <x v="0"/>
  </r>
  <r>
    <x v="3"/>
    <x v="179"/>
    <x v="0"/>
  </r>
  <r>
    <x v="9"/>
    <x v="179"/>
    <x v="0"/>
  </r>
  <r>
    <x v="8"/>
    <x v="179"/>
    <x v="0"/>
  </r>
  <r>
    <x v="4"/>
    <x v="179"/>
    <x v="0"/>
  </r>
  <r>
    <x v="6"/>
    <x v="179"/>
    <x v="0"/>
  </r>
  <r>
    <x v="1"/>
    <x v="180"/>
    <x v="0"/>
  </r>
  <r>
    <x v="2"/>
    <x v="180"/>
    <x v="1"/>
  </r>
  <r>
    <x v="3"/>
    <x v="180"/>
    <x v="0"/>
  </r>
  <r>
    <x v="9"/>
    <x v="180"/>
    <x v="0"/>
  </r>
  <r>
    <x v="0"/>
    <x v="180"/>
    <x v="1"/>
  </r>
  <r>
    <x v="8"/>
    <x v="180"/>
    <x v="4"/>
  </r>
  <r>
    <x v="4"/>
    <x v="180"/>
    <x v="0"/>
  </r>
  <r>
    <x v="7"/>
    <x v="180"/>
    <x v="0"/>
  </r>
  <r>
    <x v="1"/>
    <x v="181"/>
    <x v="0"/>
  </r>
  <r>
    <x v="0"/>
    <x v="181"/>
    <x v="0"/>
  </r>
  <r>
    <x v="8"/>
    <x v="181"/>
    <x v="1"/>
  </r>
  <r>
    <x v="4"/>
    <x v="181"/>
    <x v="0"/>
  </r>
  <r>
    <x v="7"/>
    <x v="181"/>
    <x v="1"/>
  </r>
  <r>
    <x v="10"/>
    <x v="182"/>
    <x v="0"/>
  </r>
  <r>
    <x v="0"/>
    <x v="182"/>
    <x v="0"/>
  </r>
  <r>
    <x v="8"/>
    <x v="182"/>
    <x v="0"/>
  </r>
  <r>
    <x v="4"/>
    <x v="182"/>
    <x v="0"/>
  </r>
  <r>
    <x v="5"/>
    <x v="182"/>
    <x v="0"/>
  </r>
  <r>
    <x v="0"/>
    <x v="183"/>
    <x v="0"/>
  </r>
  <r>
    <x v="10"/>
    <x v="184"/>
    <x v="0"/>
  </r>
  <r>
    <x v="1"/>
    <x v="184"/>
    <x v="0"/>
  </r>
  <r>
    <x v="4"/>
    <x v="184"/>
    <x v="0"/>
  </r>
  <r>
    <x v="1"/>
    <x v="185"/>
    <x v="0"/>
  </r>
  <r>
    <x v="3"/>
    <x v="185"/>
    <x v="0"/>
  </r>
  <r>
    <x v="0"/>
    <x v="185"/>
    <x v="0"/>
  </r>
  <r>
    <x v="8"/>
    <x v="185"/>
    <x v="1"/>
  </r>
  <r>
    <x v="5"/>
    <x v="185"/>
    <x v="0"/>
  </r>
  <r>
    <x v="6"/>
    <x v="185"/>
    <x v="0"/>
  </r>
  <r>
    <x v="8"/>
    <x v="186"/>
    <x v="0"/>
  </r>
  <r>
    <x v="10"/>
    <x v="187"/>
    <x v="4"/>
  </r>
  <r>
    <x v="1"/>
    <x v="187"/>
    <x v="1"/>
  </r>
  <r>
    <x v="2"/>
    <x v="187"/>
    <x v="49"/>
  </r>
  <r>
    <x v="3"/>
    <x v="187"/>
    <x v="1"/>
  </r>
  <r>
    <x v="9"/>
    <x v="187"/>
    <x v="6"/>
  </r>
  <r>
    <x v="0"/>
    <x v="187"/>
    <x v="2"/>
  </r>
  <r>
    <x v="8"/>
    <x v="187"/>
    <x v="0"/>
  </r>
  <r>
    <x v="4"/>
    <x v="187"/>
    <x v="6"/>
  </r>
  <r>
    <x v="5"/>
    <x v="187"/>
    <x v="6"/>
  </r>
  <r>
    <x v="6"/>
    <x v="187"/>
    <x v="4"/>
  </r>
  <r>
    <x v="7"/>
    <x v="187"/>
    <x v="0"/>
  </r>
  <r>
    <x v="5"/>
    <x v="188"/>
    <x v="0"/>
  </r>
  <r>
    <x v="3"/>
    <x v="189"/>
    <x v="0"/>
  </r>
  <r>
    <x v="0"/>
    <x v="190"/>
    <x v="0"/>
  </r>
  <r>
    <x v="10"/>
    <x v="191"/>
    <x v="4"/>
  </r>
  <r>
    <x v="1"/>
    <x v="191"/>
    <x v="10"/>
  </r>
  <r>
    <x v="2"/>
    <x v="191"/>
    <x v="4"/>
  </r>
  <r>
    <x v="9"/>
    <x v="191"/>
    <x v="0"/>
  </r>
  <r>
    <x v="0"/>
    <x v="191"/>
    <x v="2"/>
  </r>
  <r>
    <x v="8"/>
    <x v="191"/>
    <x v="0"/>
  </r>
  <r>
    <x v="5"/>
    <x v="191"/>
    <x v="0"/>
  </r>
  <r>
    <x v="6"/>
    <x v="191"/>
    <x v="2"/>
  </r>
  <r>
    <x v="7"/>
    <x v="191"/>
    <x v="1"/>
  </r>
  <r>
    <x v="0"/>
    <x v="192"/>
    <x v="0"/>
  </r>
  <r>
    <x v="10"/>
    <x v="193"/>
    <x v="10"/>
  </r>
  <r>
    <x v="2"/>
    <x v="193"/>
    <x v="7"/>
  </r>
  <r>
    <x v="6"/>
    <x v="193"/>
    <x v="5"/>
  </r>
  <r>
    <x v="10"/>
    <x v="194"/>
    <x v="6"/>
  </r>
  <r>
    <x v="1"/>
    <x v="194"/>
    <x v="5"/>
  </r>
  <r>
    <x v="2"/>
    <x v="194"/>
    <x v="1"/>
  </r>
  <r>
    <x v="3"/>
    <x v="194"/>
    <x v="65"/>
  </r>
  <r>
    <x v="9"/>
    <x v="194"/>
    <x v="2"/>
  </r>
  <r>
    <x v="0"/>
    <x v="194"/>
    <x v="9"/>
  </r>
  <r>
    <x v="8"/>
    <x v="194"/>
    <x v="5"/>
  </r>
  <r>
    <x v="4"/>
    <x v="194"/>
    <x v="48"/>
  </r>
  <r>
    <x v="5"/>
    <x v="194"/>
    <x v="64"/>
  </r>
  <r>
    <x v="6"/>
    <x v="194"/>
    <x v="9"/>
  </r>
  <r>
    <x v="7"/>
    <x v="194"/>
    <x v="71"/>
  </r>
  <r>
    <x v="10"/>
    <x v="195"/>
    <x v="46"/>
  </r>
  <r>
    <x v="1"/>
    <x v="195"/>
    <x v="68"/>
  </r>
  <r>
    <x v="2"/>
    <x v="195"/>
    <x v="17"/>
  </r>
  <r>
    <x v="3"/>
    <x v="195"/>
    <x v="43"/>
  </r>
  <r>
    <x v="9"/>
    <x v="195"/>
    <x v="74"/>
  </r>
  <r>
    <x v="0"/>
    <x v="195"/>
    <x v="81"/>
  </r>
  <r>
    <x v="8"/>
    <x v="195"/>
    <x v="22"/>
  </r>
  <r>
    <x v="4"/>
    <x v="195"/>
    <x v="42"/>
  </r>
  <r>
    <x v="5"/>
    <x v="195"/>
    <x v="12"/>
  </r>
  <r>
    <x v="6"/>
    <x v="195"/>
    <x v="17"/>
  </r>
  <r>
    <x v="7"/>
    <x v="195"/>
    <x v="68"/>
  </r>
  <r>
    <x v="10"/>
    <x v="196"/>
    <x v="40"/>
  </r>
  <r>
    <x v="3"/>
    <x v="196"/>
    <x v="2"/>
  </r>
  <r>
    <x v="9"/>
    <x v="196"/>
    <x v="41"/>
  </r>
  <r>
    <x v="0"/>
    <x v="196"/>
    <x v="82"/>
  </r>
  <r>
    <x v="8"/>
    <x v="196"/>
    <x v="1"/>
  </r>
  <r>
    <x v="4"/>
    <x v="196"/>
    <x v="48"/>
  </r>
  <r>
    <x v="5"/>
    <x v="196"/>
    <x v="69"/>
  </r>
  <r>
    <x v="7"/>
    <x v="196"/>
    <x v="51"/>
  </r>
  <r>
    <x v="10"/>
    <x v="197"/>
    <x v="83"/>
  </r>
  <r>
    <x v="1"/>
    <x v="197"/>
    <x v="77"/>
  </r>
  <r>
    <x v="2"/>
    <x v="197"/>
    <x v="13"/>
  </r>
  <r>
    <x v="3"/>
    <x v="197"/>
    <x v="58"/>
  </r>
  <r>
    <x v="9"/>
    <x v="197"/>
    <x v="1"/>
  </r>
  <r>
    <x v="0"/>
    <x v="197"/>
    <x v="74"/>
  </r>
  <r>
    <x v="8"/>
    <x v="197"/>
    <x v="65"/>
  </r>
  <r>
    <x v="4"/>
    <x v="197"/>
    <x v="4"/>
  </r>
  <r>
    <x v="5"/>
    <x v="197"/>
    <x v="71"/>
  </r>
  <r>
    <x v="6"/>
    <x v="197"/>
    <x v="51"/>
  </r>
  <r>
    <x v="7"/>
    <x v="197"/>
    <x v="9"/>
  </r>
  <r>
    <x v="1"/>
    <x v="198"/>
    <x v="4"/>
  </r>
  <r>
    <x v="3"/>
    <x v="198"/>
    <x v="3"/>
  </r>
  <r>
    <x v="9"/>
    <x v="198"/>
    <x v="2"/>
  </r>
  <r>
    <x v="8"/>
    <x v="198"/>
    <x v="4"/>
  </r>
  <r>
    <x v="7"/>
    <x v="198"/>
    <x v="0"/>
  </r>
  <r>
    <x v="9"/>
    <x v="199"/>
    <x v="84"/>
  </r>
  <r>
    <x v="0"/>
    <x v="199"/>
    <x v="23"/>
  </r>
  <r>
    <x v="2"/>
    <x v="200"/>
    <x v="47"/>
  </r>
  <r>
    <x v="3"/>
    <x v="200"/>
    <x v="2"/>
  </r>
  <r>
    <x v="9"/>
    <x v="200"/>
    <x v="3"/>
  </r>
  <r>
    <x v="0"/>
    <x v="200"/>
    <x v="3"/>
  </r>
  <r>
    <x v="4"/>
    <x v="200"/>
    <x v="0"/>
  </r>
  <r>
    <x v="6"/>
    <x v="200"/>
    <x v="0"/>
  </r>
  <r>
    <x v="7"/>
    <x v="200"/>
    <x v="0"/>
  </r>
  <r>
    <x v="10"/>
    <x v="201"/>
    <x v="85"/>
  </r>
  <r>
    <x v="1"/>
    <x v="201"/>
    <x v="55"/>
  </r>
  <r>
    <x v="2"/>
    <x v="201"/>
    <x v="86"/>
  </r>
  <r>
    <x v="3"/>
    <x v="201"/>
    <x v="87"/>
  </r>
  <r>
    <x v="9"/>
    <x v="201"/>
    <x v="10"/>
  </r>
  <r>
    <x v="0"/>
    <x v="201"/>
    <x v="22"/>
  </r>
  <r>
    <x v="8"/>
    <x v="201"/>
    <x v="36"/>
  </r>
  <r>
    <x v="4"/>
    <x v="201"/>
    <x v="88"/>
  </r>
  <r>
    <x v="5"/>
    <x v="201"/>
    <x v="26"/>
  </r>
  <r>
    <x v="6"/>
    <x v="201"/>
    <x v="89"/>
  </r>
  <r>
    <x v="7"/>
    <x v="201"/>
    <x v="90"/>
  </r>
  <r>
    <x v="10"/>
    <x v="202"/>
    <x v="3"/>
  </r>
  <r>
    <x v="1"/>
    <x v="202"/>
    <x v="3"/>
  </r>
  <r>
    <x v="2"/>
    <x v="202"/>
    <x v="1"/>
  </r>
  <r>
    <x v="3"/>
    <x v="202"/>
    <x v="0"/>
  </r>
  <r>
    <x v="3"/>
    <x v="203"/>
    <x v="0"/>
  </r>
  <r>
    <x v="5"/>
    <x v="204"/>
    <x v="7"/>
  </r>
  <r>
    <x v="6"/>
    <x v="204"/>
    <x v="4"/>
  </r>
  <r>
    <x v="6"/>
    <x v="205"/>
    <x v="1"/>
  </r>
  <r>
    <x v="7"/>
    <x v="205"/>
    <x v="1"/>
  </r>
  <r>
    <x v="10"/>
    <x v="206"/>
    <x v="1"/>
  </r>
  <r>
    <x v="1"/>
    <x v="206"/>
    <x v="4"/>
  </r>
  <r>
    <x v="2"/>
    <x v="206"/>
    <x v="1"/>
  </r>
  <r>
    <x v="4"/>
    <x v="206"/>
    <x v="4"/>
  </r>
  <r>
    <x v="5"/>
    <x v="206"/>
    <x v="0"/>
  </r>
  <r>
    <x v="7"/>
    <x v="206"/>
    <x v="0"/>
  </r>
  <r>
    <x v="10"/>
    <x v="207"/>
    <x v="1"/>
  </r>
  <r>
    <x v="1"/>
    <x v="207"/>
    <x v="4"/>
  </r>
  <r>
    <x v="2"/>
    <x v="207"/>
    <x v="1"/>
  </r>
  <r>
    <x v="3"/>
    <x v="207"/>
    <x v="0"/>
  </r>
  <r>
    <x v="9"/>
    <x v="207"/>
    <x v="0"/>
  </r>
  <r>
    <x v="0"/>
    <x v="207"/>
    <x v="4"/>
  </r>
  <r>
    <x v="8"/>
    <x v="207"/>
    <x v="4"/>
  </r>
  <r>
    <x v="4"/>
    <x v="207"/>
    <x v="6"/>
  </r>
  <r>
    <x v="5"/>
    <x v="207"/>
    <x v="0"/>
  </r>
  <r>
    <x v="6"/>
    <x v="207"/>
    <x v="0"/>
  </r>
  <r>
    <x v="7"/>
    <x v="207"/>
    <x v="0"/>
  </r>
  <r>
    <x v="10"/>
    <x v="208"/>
    <x v="0"/>
  </r>
  <r>
    <x v="3"/>
    <x v="208"/>
    <x v="1"/>
  </r>
  <r>
    <x v="0"/>
    <x v="208"/>
    <x v="1"/>
  </r>
  <r>
    <x v="8"/>
    <x v="208"/>
    <x v="0"/>
  </r>
  <r>
    <x v="5"/>
    <x v="208"/>
    <x v="1"/>
  </r>
  <r>
    <x v="6"/>
    <x v="208"/>
    <x v="1"/>
  </r>
  <r>
    <x v="8"/>
    <x v="209"/>
    <x v="0"/>
  </r>
  <r>
    <x v="1"/>
    <x v="210"/>
    <x v="0"/>
  </r>
  <r>
    <x v="2"/>
    <x v="210"/>
    <x v="1"/>
  </r>
  <r>
    <x v="3"/>
    <x v="210"/>
    <x v="4"/>
  </r>
  <r>
    <x v="0"/>
    <x v="210"/>
    <x v="4"/>
  </r>
  <r>
    <x v="10"/>
    <x v="211"/>
    <x v="6"/>
  </r>
  <r>
    <x v="1"/>
    <x v="211"/>
    <x v="1"/>
  </r>
  <r>
    <x v="2"/>
    <x v="211"/>
    <x v="0"/>
  </r>
  <r>
    <x v="3"/>
    <x v="211"/>
    <x v="0"/>
  </r>
  <r>
    <x v="9"/>
    <x v="211"/>
    <x v="0"/>
  </r>
  <r>
    <x v="8"/>
    <x v="212"/>
    <x v="0"/>
  </r>
  <r>
    <x v="1"/>
    <x v="213"/>
    <x v="4"/>
  </r>
  <r>
    <x v="8"/>
    <x v="213"/>
    <x v="2"/>
  </r>
  <r>
    <x v="4"/>
    <x v="213"/>
    <x v="0"/>
  </r>
  <r>
    <x v="5"/>
    <x v="213"/>
    <x v="7"/>
  </r>
  <r>
    <x v="6"/>
    <x v="213"/>
    <x v="7"/>
  </r>
  <r>
    <x v="5"/>
    <x v="214"/>
    <x v="4"/>
  </r>
  <r>
    <x v="10"/>
    <x v="215"/>
    <x v="1"/>
  </r>
  <r>
    <x v="1"/>
    <x v="215"/>
    <x v="0"/>
  </r>
  <r>
    <x v="2"/>
    <x v="215"/>
    <x v="1"/>
  </r>
  <r>
    <x v="9"/>
    <x v="215"/>
    <x v="0"/>
  </r>
  <r>
    <x v="0"/>
    <x v="215"/>
    <x v="7"/>
  </r>
  <r>
    <x v="5"/>
    <x v="215"/>
    <x v="0"/>
  </r>
  <r>
    <x v="7"/>
    <x v="215"/>
    <x v="4"/>
  </r>
  <r>
    <x v="10"/>
    <x v="216"/>
    <x v="1"/>
  </r>
  <r>
    <x v="1"/>
    <x v="216"/>
    <x v="5"/>
  </r>
  <r>
    <x v="2"/>
    <x v="216"/>
    <x v="2"/>
  </r>
  <r>
    <x v="3"/>
    <x v="216"/>
    <x v="2"/>
  </r>
  <r>
    <x v="9"/>
    <x v="216"/>
    <x v="0"/>
  </r>
  <r>
    <x v="0"/>
    <x v="216"/>
    <x v="4"/>
  </r>
  <r>
    <x v="8"/>
    <x v="216"/>
    <x v="2"/>
  </r>
  <r>
    <x v="4"/>
    <x v="216"/>
    <x v="6"/>
  </r>
  <r>
    <x v="5"/>
    <x v="216"/>
    <x v="4"/>
  </r>
  <r>
    <x v="6"/>
    <x v="216"/>
    <x v="6"/>
  </r>
  <r>
    <x v="7"/>
    <x v="216"/>
    <x v="49"/>
  </r>
  <r>
    <x v="1"/>
    <x v="217"/>
    <x v="0"/>
  </r>
  <r>
    <x v="2"/>
    <x v="218"/>
    <x v="0"/>
  </r>
  <r>
    <x v="3"/>
    <x v="218"/>
    <x v="0"/>
  </r>
  <r>
    <x v="9"/>
    <x v="218"/>
    <x v="0"/>
  </r>
  <r>
    <x v="0"/>
    <x v="218"/>
    <x v="1"/>
  </r>
  <r>
    <x v="4"/>
    <x v="218"/>
    <x v="0"/>
  </r>
  <r>
    <x v="6"/>
    <x v="218"/>
    <x v="1"/>
  </r>
  <r>
    <x v="7"/>
    <x v="218"/>
    <x v="0"/>
  </r>
  <r>
    <x v="6"/>
    <x v="219"/>
    <x v="0"/>
  </r>
  <r>
    <x v="7"/>
    <x v="219"/>
    <x v="0"/>
  </r>
  <r>
    <x v="5"/>
    <x v="220"/>
    <x v="0"/>
  </r>
  <r>
    <x v="6"/>
    <x v="220"/>
    <x v="0"/>
  </r>
  <r>
    <x v="7"/>
    <x v="220"/>
    <x v="1"/>
  </r>
  <r>
    <x v="8"/>
    <x v="221"/>
    <x v="0"/>
  </r>
  <r>
    <x v="4"/>
    <x v="221"/>
    <x v="0"/>
  </r>
  <r>
    <x v="5"/>
    <x v="221"/>
    <x v="1"/>
  </r>
  <r>
    <x v="6"/>
    <x v="221"/>
    <x v="4"/>
  </r>
  <r>
    <x v="7"/>
    <x v="221"/>
    <x v="1"/>
  </r>
  <r>
    <x v="9"/>
    <x v="222"/>
    <x v="0"/>
  </r>
  <r>
    <x v="4"/>
    <x v="222"/>
    <x v="1"/>
  </r>
  <r>
    <x v="10"/>
    <x v="223"/>
    <x v="2"/>
  </r>
  <r>
    <x v="1"/>
    <x v="223"/>
    <x v="4"/>
  </r>
  <r>
    <x v="2"/>
    <x v="223"/>
    <x v="0"/>
  </r>
  <r>
    <x v="3"/>
    <x v="223"/>
    <x v="2"/>
  </r>
  <r>
    <x v="6"/>
    <x v="223"/>
    <x v="0"/>
  </r>
  <r>
    <x v="7"/>
    <x v="223"/>
    <x v="0"/>
  </r>
  <r>
    <x v="10"/>
    <x v="224"/>
    <x v="4"/>
  </r>
  <r>
    <x v="1"/>
    <x v="224"/>
    <x v="10"/>
  </r>
  <r>
    <x v="2"/>
    <x v="224"/>
    <x v="0"/>
  </r>
  <r>
    <x v="8"/>
    <x v="224"/>
    <x v="4"/>
  </r>
  <r>
    <x v="5"/>
    <x v="224"/>
    <x v="0"/>
  </r>
  <r>
    <x v="6"/>
    <x v="224"/>
    <x v="0"/>
  </r>
  <r>
    <x v="10"/>
    <x v="225"/>
    <x v="0"/>
  </r>
  <r>
    <x v="4"/>
    <x v="226"/>
    <x v="0"/>
  </r>
  <r>
    <x v="2"/>
    <x v="227"/>
    <x v="4"/>
  </r>
  <r>
    <x v="3"/>
    <x v="227"/>
    <x v="1"/>
  </r>
  <r>
    <x v="9"/>
    <x v="227"/>
    <x v="0"/>
  </r>
  <r>
    <x v="5"/>
    <x v="227"/>
    <x v="1"/>
  </r>
  <r>
    <x v="10"/>
    <x v="228"/>
    <x v="0"/>
  </r>
  <r>
    <x v="10"/>
    <x v="229"/>
    <x v="4"/>
  </r>
  <r>
    <x v="2"/>
    <x v="229"/>
    <x v="0"/>
  </r>
  <r>
    <x v="3"/>
    <x v="229"/>
    <x v="0"/>
  </r>
  <r>
    <x v="9"/>
    <x v="229"/>
    <x v="0"/>
  </r>
  <r>
    <x v="8"/>
    <x v="229"/>
    <x v="6"/>
  </r>
  <r>
    <x v="4"/>
    <x v="229"/>
    <x v="1"/>
  </r>
  <r>
    <x v="7"/>
    <x v="229"/>
    <x v="1"/>
  </r>
  <r>
    <x v="3"/>
    <x v="230"/>
    <x v="0"/>
  </r>
  <r>
    <x v="9"/>
    <x v="230"/>
    <x v="0"/>
  </r>
  <r>
    <x v="0"/>
    <x v="230"/>
    <x v="1"/>
  </r>
  <r>
    <x v="8"/>
    <x v="230"/>
    <x v="1"/>
  </r>
  <r>
    <x v="10"/>
    <x v="231"/>
    <x v="12"/>
  </r>
  <r>
    <x v="1"/>
    <x v="231"/>
    <x v="8"/>
  </r>
  <r>
    <x v="2"/>
    <x v="231"/>
    <x v="62"/>
  </r>
  <r>
    <x v="3"/>
    <x v="231"/>
    <x v="4"/>
  </r>
  <r>
    <x v="9"/>
    <x v="231"/>
    <x v="6"/>
  </r>
  <r>
    <x v="0"/>
    <x v="231"/>
    <x v="64"/>
  </r>
  <r>
    <x v="8"/>
    <x v="231"/>
    <x v="49"/>
  </r>
  <r>
    <x v="4"/>
    <x v="231"/>
    <x v="4"/>
  </r>
  <r>
    <x v="5"/>
    <x v="231"/>
    <x v="71"/>
  </r>
  <r>
    <x v="6"/>
    <x v="231"/>
    <x v="18"/>
  </r>
  <r>
    <x v="7"/>
    <x v="231"/>
    <x v="5"/>
  </r>
  <r>
    <x v="1"/>
    <x v="232"/>
    <x v="10"/>
  </r>
  <r>
    <x v="2"/>
    <x v="232"/>
    <x v="4"/>
  </r>
  <r>
    <x v="3"/>
    <x v="232"/>
    <x v="4"/>
  </r>
  <r>
    <x v="9"/>
    <x v="232"/>
    <x v="10"/>
  </r>
  <r>
    <x v="0"/>
    <x v="232"/>
    <x v="10"/>
  </r>
  <r>
    <x v="8"/>
    <x v="232"/>
    <x v="6"/>
  </r>
  <r>
    <x v="4"/>
    <x v="232"/>
    <x v="9"/>
  </r>
  <r>
    <x v="5"/>
    <x v="232"/>
    <x v="49"/>
  </r>
  <r>
    <x v="6"/>
    <x v="232"/>
    <x v="10"/>
  </r>
  <r>
    <x v="7"/>
    <x v="232"/>
    <x v="2"/>
  </r>
  <r>
    <x v="10"/>
    <x v="233"/>
    <x v="11"/>
  </r>
  <r>
    <x v="3"/>
    <x v="233"/>
    <x v="65"/>
  </r>
  <r>
    <x v="9"/>
    <x v="233"/>
    <x v="3"/>
  </r>
  <r>
    <x v="0"/>
    <x v="233"/>
    <x v="69"/>
  </r>
  <r>
    <x v="8"/>
    <x v="233"/>
    <x v="48"/>
  </r>
  <r>
    <x v="5"/>
    <x v="233"/>
    <x v="48"/>
  </r>
  <r>
    <x v="6"/>
    <x v="233"/>
    <x v="40"/>
  </r>
  <r>
    <x v="6"/>
    <x v="233"/>
    <x v="0"/>
  </r>
  <r>
    <x v="7"/>
    <x v="233"/>
    <x v="4"/>
  </r>
  <r>
    <x v="7"/>
    <x v="234"/>
    <x v="0"/>
  </r>
  <r>
    <x v="0"/>
    <x v="235"/>
    <x v="0"/>
  </r>
  <r>
    <x v="8"/>
    <x v="235"/>
    <x v="0"/>
  </r>
  <r>
    <x v="5"/>
    <x v="235"/>
    <x v="0"/>
  </r>
  <r>
    <x v="7"/>
    <x v="235"/>
    <x v="0"/>
  </r>
  <r>
    <x v="10"/>
    <x v="236"/>
    <x v="91"/>
  </r>
  <r>
    <x v="1"/>
    <x v="236"/>
    <x v="92"/>
  </r>
  <r>
    <x v="9"/>
    <x v="236"/>
    <x v="93"/>
  </r>
  <r>
    <x v="0"/>
    <x v="236"/>
    <x v="1"/>
  </r>
  <r>
    <x v="6"/>
    <x v="236"/>
    <x v="1"/>
  </r>
  <r>
    <x v="6"/>
    <x v="237"/>
    <x v="0"/>
  </r>
  <r>
    <x v="2"/>
    <x v="238"/>
    <x v="1"/>
  </r>
  <r>
    <x v="9"/>
    <x v="238"/>
    <x v="0"/>
  </r>
  <r>
    <x v="5"/>
    <x v="238"/>
    <x v="0"/>
  </r>
  <r>
    <x v="6"/>
    <x v="238"/>
    <x v="0"/>
  </r>
  <r>
    <x v="1"/>
    <x v="239"/>
    <x v="3"/>
  </r>
  <r>
    <x v="2"/>
    <x v="239"/>
    <x v="0"/>
  </r>
  <r>
    <x v="9"/>
    <x v="239"/>
    <x v="1"/>
  </r>
  <r>
    <x v="0"/>
    <x v="239"/>
    <x v="0"/>
  </r>
  <r>
    <x v="8"/>
    <x v="239"/>
    <x v="0"/>
  </r>
  <r>
    <x v="4"/>
    <x v="239"/>
    <x v="3"/>
  </r>
  <r>
    <x v="6"/>
    <x v="239"/>
    <x v="4"/>
  </r>
  <r>
    <x v="1"/>
    <x v="240"/>
    <x v="0"/>
  </r>
  <r>
    <x v="2"/>
    <x v="240"/>
    <x v="0"/>
  </r>
  <r>
    <x v="9"/>
    <x v="240"/>
    <x v="0"/>
  </r>
  <r>
    <x v="0"/>
    <x v="240"/>
    <x v="0"/>
  </r>
  <r>
    <x v="1"/>
    <x v="241"/>
    <x v="0"/>
  </r>
  <r>
    <x v="2"/>
    <x v="241"/>
    <x v="0"/>
  </r>
  <r>
    <x v="6"/>
    <x v="241"/>
    <x v="0"/>
  </r>
  <r>
    <x v="2"/>
    <x v="242"/>
    <x v="1"/>
  </r>
  <r>
    <x v="0"/>
    <x v="242"/>
    <x v="0"/>
  </r>
  <r>
    <x v="10"/>
    <x v="243"/>
    <x v="71"/>
  </r>
  <r>
    <x v="1"/>
    <x v="243"/>
    <x v="2"/>
  </r>
  <r>
    <x v="2"/>
    <x v="243"/>
    <x v="6"/>
  </r>
  <r>
    <x v="3"/>
    <x v="243"/>
    <x v="0"/>
  </r>
  <r>
    <x v="0"/>
    <x v="243"/>
    <x v="10"/>
  </r>
  <r>
    <x v="8"/>
    <x v="243"/>
    <x v="2"/>
  </r>
  <r>
    <x v="4"/>
    <x v="243"/>
    <x v="4"/>
  </r>
  <r>
    <x v="5"/>
    <x v="243"/>
    <x v="4"/>
  </r>
  <r>
    <x v="6"/>
    <x v="243"/>
    <x v="0"/>
  </r>
  <r>
    <x v="7"/>
    <x v="243"/>
    <x v="2"/>
  </r>
  <r>
    <x v="10"/>
    <x v="244"/>
    <x v="4"/>
  </r>
  <r>
    <x v="1"/>
    <x v="244"/>
    <x v="5"/>
  </r>
  <r>
    <x v="2"/>
    <x v="244"/>
    <x v="2"/>
  </r>
  <r>
    <x v="3"/>
    <x v="244"/>
    <x v="0"/>
  </r>
  <r>
    <x v="9"/>
    <x v="244"/>
    <x v="5"/>
  </r>
  <r>
    <x v="0"/>
    <x v="244"/>
    <x v="5"/>
  </r>
  <r>
    <x v="8"/>
    <x v="244"/>
    <x v="49"/>
  </r>
  <r>
    <x v="5"/>
    <x v="244"/>
    <x v="10"/>
  </r>
  <r>
    <x v="6"/>
    <x v="244"/>
    <x v="0"/>
  </r>
  <r>
    <x v="7"/>
    <x v="244"/>
    <x v="4"/>
  </r>
  <r>
    <x v="9"/>
    <x v="245"/>
    <x v="0"/>
  </r>
  <r>
    <x v="0"/>
    <x v="246"/>
    <x v="4"/>
  </r>
  <r>
    <x v="10"/>
    <x v="247"/>
    <x v="39"/>
  </r>
  <r>
    <x v="1"/>
    <x v="247"/>
    <x v="51"/>
  </r>
  <r>
    <x v="2"/>
    <x v="247"/>
    <x v="62"/>
  </r>
  <r>
    <x v="3"/>
    <x v="247"/>
    <x v="94"/>
  </r>
  <r>
    <x v="3"/>
    <x v="247"/>
    <x v="0"/>
  </r>
  <r>
    <x v="9"/>
    <x v="247"/>
    <x v="95"/>
  </r>
  <r>
    <x v="0"/>
    <x v="247"/>
    <x v="76"/>
  </r>
  <r>
    <x v="8"/>
    <x v="247"/>
    <x v="47"/>
  </r>
  <r>
    <x v="8"/>
    <x v="247"/>
    <x v="0"/>
  </r>
  <r>
    <x v="4"/>
    <x v="247"/>
    <x v="34"/>
  </r>
  <r>
    <x v="4"/>
    <x v="247"/>
    <x v="0"/>
  </r>
  <r>
    <x v="5"/>
    <x v="247"/>
    <x v="13"/>
  </r>
  <r>
    <x v="6"/>
    <x v="247"/>
    <x v="60"/>
  </r>
  <r>
    <x v="7"/>
    <x v="247"/>
    <x v="8"/>
  </r>
  <r>
    <x v="10"/>
    <x v="248"/>
    <x v="1"/>
  </r>
  <r>
    <x v="1"/>
    <x v="248"/>
    <x v="6"/>
  </r>
  <r>
    <x v="2"/>
    <x v="248"/>
    <x v="0"/>
  </r>
  <r>
    <x v="9"/>
    <x v="248"/>
    <x v="4"/>
  </r>
  <r>
    <x v="0"/>
    <x v="248"/>
    <x v="2"/>
  </r>
  <r>
    <x v="8"/>
    <x v="248"/>
    <x v="4"/>
  </r>
  <r>
    <x v="4"/>
    <x v="248"/>
    <x v="1"/>
  </r>
  <r>
    <x v="5"/>
    <x v="248"/>
    <x v="1"/>
  </r>
  <r>
    <x v="6"/>
    <x v="248"/>
    <x v="5"/>
  </r>
  <r>
    <x v="7"/>
    <x v="248"/>
    <x v="10"/>
  </r>
  <r>
    <x v="10"/>
    <x v="249"/>
    <x v="0"/>
  </r>
  <r>
    <x v="10"/>
    <x v="250"/>
    <x v="5"/>
  </r>
  <r>
    <x v="1"/>
    <x v="250"/>
    <x v="49"/>
  </r>
  <r>
    <x v="2"/>
    <x v="250"/>
    <x v="5"/>
  </r>
  <r>
    <x v="3"/>
    <x v="250"/>
    <x v="2"/>
  </r>
  <r>
    <x v="9"/>
    <x v="250"/>
    <x v="4"/>
  </r>
  <r>
    <x v="0"/>
    <x v="250"/>
    <x v="65"/>
  </r>
  <r>
    <x v="8"/>
    <x v="250"/>
    <x v="2"/>
  </r>
  <r>
    <x v="4"/>
    <x v="250"/>
    <x v="2"/>
  </r>
  <r>
    <x v="5"/>
    <x v="250"/>
    <x v="7"/>
  </r>
  <r>
    <x v="6"/>
    <x v="250"/>
    <x v="10"/>
  </r>
  <r>
    <x v="7"/>
    <x v="250"/>
    <x v="10"/>
  </r>
  <r>
    <x v="0"/>
    <x v="251"/>
    <x v="0"/>
  </r>
  <r>
    <x v="2"/>
    <x v="252"/>
    <x v="1"/>
  </r>
  <r>
    <x v="3"/>
    <x v="252"/>
    <x v="4"/>
  </r>
  <r>
    <x v="10"/>
    <x v="253"/>
    <x v="0"/>
  </r>
  <r>
    <x v="9"/>
    <x v="253"/>
    <x v="1"/>
  </r>
  <r>
    <x v="0"/>
    <x v="253"/>
    <x v="2"/>
  </r>
  <r>
    <x v="8"/>
    <x v="253"/>
    <x v="0"/>
  </r>
  <r>
    <x v="4"/>
    <x v="253"/>
    <x v="4"/>
  </r>
  <r>
    <x v="5"/>
    <x v="253"/>
    <x v="1"/>
  </r>
  <r>
    <x v="6"/>
    <x v="253"/>
    <x v="1"/>
  </r>
  <r>
    <x v="7"/>
    <x v="253"/>
    <x v="1"/>
  </r>
  <r>
    <x v="8"/>
    <x v="254"/>
    <x v="4"/>
  </r>
  <r>
    <x v="4"/>
    <x v="254"/>
    <x v="4"/>
  </r>
  <r>
    <x v="5"/>
    <x v="254"/>
    <x v="1"/>
  </r>
  <r>
    <x v="6"/>
    <x v="254"/>
    <x v="3"/>
  </r>
  <r>
    <x v="7"/>
    <x v="254"/>
    <x v="4"/>
  </r>
  <r>
    <x v="10"/>
    <x v="255"/>
    <x v="0"/>
  </r>
  <r>
    <x v="2"/>
    <x v="255"/>
    <x v="0"/>
  </r>
  <r>
    <x v="3"/>
    <x v="255"/>
    <x v="4"/>
  </r>
  <r>
    <x v="4"/>
    <x v="255"/>
    <x v="0"/>
  </r>
  <r>
    <x v="6"/>
    <x v="255"/>
    <x v="0"/>
  </r>
  <r>
    <x v="10"/>
    <x v="256"/>
    <x v="96"/>
  </r>
  <r>
    <x v="1"/>
    <x v="256"/>
    <x v="97"/>
  </r>
  <r>
    <x v="2"/>
    <x v="256"/>
    <x v="98"/>
  </r>
  <r>
    <x v="3"/>
    <x v="256"/>
    <x v="27"/>
  </r>
  <r>
    <x v="9"/>
    <x v="256"/>
    <x v="32"/>
  </r>
  <r>
    <x v="0"/>
    <x v="256"/>
    <x v="88"/>
  </r>
  <r>
    <x v="8"/>
    <x v="256"/>
    <x v="99"/>
  </r>
  <r>
    <x v="4"/>
    <x v="256"/>
    <x v="82"/>
  </r>
  <r>
    <x v="5"/>
    <x v="256"/>
    <x v="100"/>
  </r>
  <r>
    <x v="6"/>
    <x v="256"/>
    <x v="101"/>
  </r>
  <r>
    <x v="7"/>
    <x v="256"/>
    <x v="102"/>
  </r>
  <r>
    <x v="1"/>
    <x v="257"/>
    <x v="71"/>
  </r>
  <r>
    <x v="2"/>
    <x v="257"/>
    <x v="0"/>
  </r>
  <r>
    <x v="3"/>
    <x v="257"/>
    <x v="4"/>
  </r>
  <r>
    <x v="9"/>
    <x v="257"/>
    <x v="71"/>
  </r>
  <r>
    <x v="0"/>
    <x v="257"/>
    <x v="18"/>
  </r>
  <r>
    <x v="8"/>
    <x v="257"/>
    <x v="51"/>
  </r>
  <r>
    <x v="4"/>
    <x v="257"/>
    <x v="0"/>
  </r>
  <r>
    <x v="6"/>
    <x v="257"/>
    <x v="9"/>
  </r>
  <r>
    <x v="7"/>
    <x v="257"/>
    <x v="103"/>
  </r>
  <r>
    <x v="0"/>
    <x v="258"/>
    <x v="0"/>
  </r>
  <r>
    <x v="10"/>
    <x v="259"/>
    <x v="0"/>
  </r>
  <r>
    <x v="9"/>
    <x v="259"/>
    <x v="0"/>
  </r>
  <r>
    <x v="5"/>
    <x v="259"/>
    <x v="0"/>
  </r>
  <r>
    <x v="7"/>
    <x v="260"/>
    <x v="0"/>
  </r>
  <r>
    <x v="10"/>
    <x v="261"/>
    <x v="47"/>
  </r>
  <r>
    <x v="1"/>
    <x v="261"/>
    <x v="4"/>
  </r>
  <r>
    <x v="9"/>
    <x v="261"/>
    <x v="18"/>
  </r>
  <r>
    <x v="0"/>
    <x v="261"/>
    <x v="9"/>
  </r>
  <r>
    <x v="6"/>
    <x v="261"/>
    <x v="8"/>
  </r>
  <r>
    <x v="7"/>
    <x v="261"/>
    <x v="11"/>
  </r>
  <r>
    <x v="8"/>
    <x v="262"/>
    <x v="0"/>
  </r>
  <r>
    <x v="6"/>
    <x v="262"/>
    <x v="0"/>
  </r>
  <r>
    <x v="7"/>
    <x v="262"/>
    <x v="1"/>
  </r>
  <r>
    <x v="4"/>
    <x v="263"/>
    <x v="0"/>
  </r>
  <r>
    <x v="10"/>
    <x v="264"/>
    <x v="4"/>
  </r>
  <r>
    <x v="2"/>
    <x v="264"/>
    <x v="0"/>
  </r>
  <r>
    <x v="3"/>
    <x v="264"/>
    <x v="0"/>
  </r>
  <r>
    <x v="8"/>
    <x v="264"/>
    <x v="0"/>
  </r>
  <r>
    <x v="4"/>
    <x v="264"/>
    <x v="6"/>
  </r>
  <r>
    <x v="5"/>
    <x v="264"/>
    <x v="1"/>
  </r>
  <r>
    <x v="6"/>
    <x v="264"/>
    <x v="0"/>
  </r>
  <r>
    <x v="7"/>
    <x v="264"/>
    <x v="0"/>
  </r>
  <r>
    <x v="2"/>
    <x v="265"/>
    <x v="0"/>
  </r>
  <r>
    <x v="9"/>
    <x v="265"/>
    <x v="0"/>
  </r>
  <r>
    <x v="6"/>
    <x v="265"/>
    <x v="0"/>
  </r>
  <r>
    <x v="7"/>
    <x v="265"/>
    <x v="1"/>
  </r>
  <r>
    <x v="1"/>
    <x v="266"/>
    <x v="0"/>
  </r>
  <r>
    <x v="2"/>
    <x v="266"/>
    <x v="1"/>
  </r>
  <r>
    <x v="9"/>
    <x v="266"/>
    <x v="1"/>
  </r>
  <r>
    <x v="0"/>
    <x v="266"/>
    <x v="0"/>
  </r>
  <r>
    <x v="8"/>
    <x v="266"/>
    <x v="1"/>
  </r>
  <r>
    <x v="4"/>
    <x v="266"/>
    <x v="2"/>
  </r>
  <r>
    <x v="5"/>
    <x v="266"/>
    <x v="1"/>
  </r>
  <r>
    <x v="6"/>
    <x v="266"/>
    <x v="4"/>
  </r>
  <r>
    <x v="10"/>
    <x v="267"/>
    <x v="0"/>
  </r>
  <r>
    <x v="1"/>
    <x v="267"/>
    <x v="0"/>
  </r>
  <r>
    <x v="8"/>
    <x v="267"/>
    <x v="0"/>
  </r>
  <r>
    <x v="4"/>
    <x v="267"/>
    <x v="0"/>
  </r>
  <r>
    <x v="7"/>
    <x v="267"/>
    <x v="0"/>
  </r>
  <r>
    <x v="2"/>
    <x v="268"/>
    <x v="0"/>
  </r>
  <r>
    <x v="3"/>
    <x v="268"/>
    <x v="0"/>
  </r>
  <r>
    <x v="9"/>
    <x v="269"/>
    <x v="2"/>
  </r>
  <r>
    <x v="0"/>
    <x v="269"/>
    <x v="4"/>
  </r>
  <r>
    <x v="5"/>
    <x v="269"/>
    <x v="0"/>
  </r>
  <r>
    <x v="7"/>
    <x v="269"/>
    <x v="1"/>
  </r>
  <r>
    <x v="0"/>
    <x v="270"/>
    <x v="4"/>
  </r>
  <r>
    <x v="4"/>
    <x v="270"/>
    <x v="0"/>
  </r>
  <r>
    <x v="5"/>
    <x v="270"/>
    <x v="2"/>
  </r>
  <r>
    <x v="5"/>
    <x v="270"/>
    <x v="1"/>
  </r>
  <r>
    <x v="7"/>
    <x v="270"/>
    <x v="0"/>
  </r>
  <r>
    <x v="1"/>
    <x v="271"/>
    <x v="1"/>
  </r>
  <r>
    <x v="8"/>
    <x v="271"/>
    <x v="1"/>
  </r>
  <r>
    <x v="0"/>
    <x v="272"/>
    <x v="0"/>
  </r>
  <r>
    <x v="10"/>
    <x v="273"/>
    <x v="49"/>
  </r>
  <r>
    <x v="1"/>
    <x v="273"/>
    <x v="18"/>
  </r>
  <r>
    <x v="2"/>
    <x v="273"/>
    <x v="1"/>
  </r>
  <r>
    <x v="3"/>
    <x v="273"/>
    <x v="10"/>
  </r>
  <r>
    <x v="9"/>
    <x v="273"/>
    <x v="4"/>
  </r>
  <r>
    <x v="0"/>
    <x v="273"/>
    <x v="6"/>
  </r>
  <r>
    <x v="8"/>
    <x v="273"/>
    <x v="4"/>
  </r>
  <r>
    <x v="5"/>
    <x v="273"/>
    <x v="2"/>
  </r>
  <r>
    <x v="6"/>
    <x v="273"/>
    <x v="6"/>
  </r>
  <r>
    <x v="7"/>
    <x v="273"/>
    <x v="6"/>
  </r>
  <r>
    <x v="10"/>
    <x v="274"/>
    <x v="4"/>
  </r>
  <r>
    <x v="2"/>
    <x v="274"/>
    <x v="4"/>
  </r>
  <r>
    <x v="9"/>
    <x v="274"/>
    <x v="4"/>
  </r>
  <r>
    <x v="8"/>
    <x v="274"/>
    <x v="4"/>
  </r>
  <r>
    <x v="6"/>
    <x v="274"/>
    <x v="4"/>
  </r>
  <r>
    <x v="7"/>
    <x v="274"/>
    <x v="4"/>
  </r>
  <r>
    <x v="2"/>
    <x v="275"/>
    <x v="0"/>
  </r>
  <r>
    <x v="3"/>
    <x v="276"/>
    <x v="0"/>
  </r>
  <r>
    <x v="6"/>
    <x v="276"/>
    <x v="1"/>
  </r>
  <r>
    <x v="3"/>
    <x v="277"/>
    <x v="0"/>
  </r>
  <r>
    <x v="4"/>
    <x v="277"/>
    <x v="0"/>
  </r>
  <r>
    <x v="5"/>
    <x v="277"/>
    <x v="0"/>
  </r>
  <r>
    <x v="1"/>
    <x v="278"/>
    <x v="0"/>
  </r>
  <r>
    <x v="0"/>
    <x v="279"/>
    <x v="1"/>
  </r>
  <r>
    <x v="8"/>
    <x v="279"/>
    <x v="4"/>
  </r>
  <r>
    <x v="5"/>
    <x v="279"/>
    <x v="1"/>
  </r>
  <r>
    <x v="6"/>
    <x v="279"/>
    <x v="1"/>
  </r>
  <r>
    <x v="7"/>
    <x v="279"/>
    <x v="0"/>
  </r>
  <r>
    <x v="10"/>
    <x v="280"/>
    <x v="4"/>
  </r>
  <r>
    <x v="2"/>
    <x v="280"/>
    <x v="0"/>
  </r>
  <r>
    <x v="3"/>
    <x v="280"/>
    <x v="0"/>
  </r>
  <r>
    <x v="9"/>
    <x v="280"/>
    <x v="0"/>
  </r>
  <r>
    <x v="0"/>
    <x v="280"/>
    <x v="1"/>
  </r>
  <r>
    <x v="10"/>
    <x v="281"/>
    <x v="4"/>
  </r>
  <r>
    <x v="2"/>
    <x v="281"/>
    <x v="1"/>
  </r>
  <r>
    <x v="3"/>
    <x v="281"/>
    <x v="1"/>
  </r>
  <r>
    <x v="9"/>
    <x v="281"/>
    <x v="1"/>
  </r>
  <r>
    <x v="0"/>
    <x v="281"/>
    <x v="0"/>
  </r>
  <r>
    <x v="6"/>
    <x v="281"/>
    <x v="0"/>
  </r>
  <r>
    <x v="7"/>
    <x v="281"/>
    <x v="0"/>
  </r>
  <r>
    <x v="10"/>
    <x v="282"/>
    <x v="1"/>
  </r>
  <r>
    <x v="1"/>
    <x v="282"/>
    <x v="4"/>
  </r>
  <r>
    <x v="2"/>
    <x v="282"/>
    <x v="4"/>
  </r>
  <r>
    <x v="3"/>
    <x v="282"/>
    <x v="0"/>
  </r>
  <r>
    <x v="9"/>
    <x v="282"/>
    <x v="0"/>
  </r>
  <r>
    <x v="0"/>
    <x v="282"/>
    <x v="1"/>
  </r>
  <r>
    <x v="8"/>
    <x v="282"/>
    <x v="4"/>
  </r>
  <r>
    <x v="4"/>
    <x v="282"/>
    <x v="0"/>
  </r>
  <r>
    <x v="5"/>
    <x v="282"/>
    <x v="4"/>
  </r>
  <r>
    <x v="6"/>
    <x v="282"/>
    <x v="4"/>
  </r>
  <r>
    <x v="7"/>
    <x v="282"/>
    <x v="0"/>
  </r>
  <r>
    <x v="10"/>
    <x v="283"/>
    <x v="0"/>
  </r>
  <r>
    <x v="1"/>
    <x v="283"/>
    <x v="0"/>
  </r>
  <r>
    <x v="9"/>
    <x v="283"/>
    <x v="0"/>
  </r>
  <r>
    <x v="0"/>
    <x v="283"/>
    <x v="1"/>
  </r>
  <r>
    <x v="4"/>
    <x v="283"/>
    <x v="0"/>
  </r>
  <r>
    <x v="6"/>
    <x v="283"/>
    <x v="0"/>
  </r>
  <r>
    <x v="7"/>
    <x v="283"/>
    <x v="0"/>
  </r>
  <r>
    <x v="7"/>
    <x v="284"/>
    <x v="4"/>
  </r>
  <r>
    <x v="7"/>
    <x v="285"/>
    <x v="0"/>
  </r>
  <r>
    <x v="10"/>
    <x v="286"/>
    <x v="53"/>
  </r>
  <r>
    <x v="1"/>
    <x v="286"/>
    <x v="36"/>
  </r>
  <r>
    <x v="2"/>
    <x v="286"/>
    <x v="104"/>
  </r>
  <r>
    <x v="3"/>
    <x v="286"/>
    <x v="105"/>
  </r>
  <r>
    <x v="9"/>
    <x v="286"/>
    <x v="44"/>
  </r>
  <r>
    <x v="0"/>
    <x v="286"/>
    <x v="8"/>
  </r>
  <r>
    <x v="8"/>
    <x v="286"/>
    <x v="50"/>
  </r>
  <r>
    <x v="4"/>
    <x v="286"/>
    <x v="53"/>
  </r>
  <r>
    <x v="5"/>
    <x v="286"/>
    <x v="60"/>
  </r>
  <r>
    <x v="6"/>
    <x v="286"/>
    <x v="78"/>
  </r>
  <r>
    <x v="7"/>
    <x v="286"/>
    <x v="49"/>
  </r>
  <r>
    <x v="9"/>
    <x v="287"/>
    <x v="3"/>
  </r>
  <r>
    <x v="7"/>
    <x v="288"/>
    <x v="23"/>
  </r>
  <r>
    <x v="10"/>
    <x v="289"/>
    <x v="81"/>
  </r>
  <r>
    <x v="1"/>
    <x v="289"/>
    <x v="24"/>
  </r>
  <r>
    <x v="2"/>
    <x v="289"/>
    <x v="47"/>
  </r>
  <r>
    <x v="3"/>
    <x v="289"/>
    <x v="34"/>
  </r>
  <r>
    <x v="9"/>
    <x v="289"/>
    <x v="106"/>
  </r>
  <r>
    <x v="0"/>
    <x v="289"/>
    <x v="67"/>
  </r>
  <r>
    <x v="8"/>
    <x v="289"/>
    <x v="22"/>
  </r>
  <r>
    <x v="4"/>
    <x v="289"/>
    <x v="47"/>
  </r>
  <r>
    <x v="5"/>
    <x v="289"/>
    <x v="7"/>
  </r>
  <r>
    <x v="6"/>
    <x v="289"/>
    <x v="4"/>
  </r>
  <r>
    <x v="7"/>
    <x v="289"/>
    <x v="2"/>
  </r>
  <r>
    <x v="1"/>
    <x v="290"/>
    <x v="0"/>
  </r>
  <r>
    <x v="3"/>
    <x v="290"/>
    <x v="0"/>
  </r>
  <r>
    <x v="9"/>
    <x v="290"/>
    <x v="1"/>
  </r>
  <r>
    <x v="8"/>
    <x v="290"/>
    <x v="0"/>
  </r>
  <r>
    <x v="4"/>
    <x v="290"/>
    <x v="1"/>
  </r>
  <r>
    <x v="5"/>
    <x v="290"/>
    <x v="0"/>
  </r>
  <r>
    <x v="6"/>
    <x v="290"/>
    <x v="0"/>
  </r>
  <r>
    <x v="0"/>
    <x v="291"/>
    <x v="0"/>
  </r>
  <r>
    <x v="6"/>
    <x v="292"/>
    <x v="0"/>
  </r>
  <r>
    <x v="7"/>
    <x v="292"/>
    <x v="0"/>
  </r>
  <r>
    <x v="10"/>
    <x v="293"/>
    <x v="1"/>
  </r>
  <r>
    <x v="1"/>
    <x v="293"/>
    <x v="4"/>
  </r>
  <r>
    <x v="4"/>
    <x v="293"/>
    <x v="0"/>
  </r>
  <r>
    <x v="6"/>
    <x v="293"/>
    <x v="0"/>
  </r>
  <r>
    <x v="1"/>
    <x v="294"/>
    <x v="0"/>
  </r>
  <r>
    <x v="3"/>
    <x v="295"/>
    <x v="0"/>
  </r>
  <r>
    <x v="9"/>
    <x v="295"/>
    <x v="0"/>
  </r>
  <r>
    <x v="0"/>
    <x v="295"/>
    <x v="4"/>
  </r>
  <r>
    <x v="8"/>
    <x v="295"/>
    <x v="0"/>
  </r>
  <r>
    <x v="5"/>
    <x v="295"/>
    <x v="1"/>
  </r>
  <r>
    <x v="6"/>
    <x v="295"/>
    <x v="10"/>
  </r>
  <r>
    <x v="7"/>
    <x v="295"/>
    <x v="1"/>
  </r>
  <r>
    <x v="2"/>
    <x v="296"/>
    <x v="0"/>
  </r>
  <r>
    <x v="3"/>
    <x v="296"/>
    <x v="0"/>
  </r>
  <r>
    <x v="7"/>
    <x v="297"/>
    <x v="0"/>
  </r>
  <r>
    <x v="10"/>
    <x v="298"/>
    <x v="0"/>
  </r>
  <r>
    <x v="0"/>
    <x v="298"/>
    <x v="0"/>
  </r>
  <r>
    <x v="8"/>
    <x v="298"/>
    <x v="0"/>
  </r>
  <r>
    <x v="5"/>
    <x v="298"/>
    <x v="0"/>
  </r>
  <r>
    <x v="6"/>
    <x v="298"/>
    <x v="0"/>
  </r>
  <r>
    <x v="6"/>
    <x v="299"/>
    <x v="0"/>
  </r>
  <r>
    <x v="4"/>
    <x v="300"/>
    <x v="0"/>
  </r>
  <r>
    <x v="10"/>
    <x v="301"/>
    <x v="1"/>
  </r>
  <r>
    <x v="2"/>
    <x v="301"/>
    <x v="0"/>
  </r>
  <r>
    <x v="6"/>
    <x v="301"/>
    <x v="0"/>
  </r>
  <r>
    <x v="7"/>
    <x v="301"/>
    <x v="0"/>
  </r>
  <r>
    <x v="6"/>
    <x v="302"/>
    <x v="0"/>
  </r>
  <r>
    <x v="1"/>
    <x v="303"/>
    <x v="1"/>
  </r>
  <r>
    <x v="9"/>
    <x v="303"/>
    <x v="0"/>
  </r>
  <r>
    <x v="4"/>
    <x v="303"/>
    <x v="0"/>
  </r>
  <r>
    <x v="7"/>
    <x v="303"/>
    <x v="0"/>
  </r>
  <r>
    <x v="10"/>
    <x v="304"/>
    <x v="3"/>
  </r>
  <r>
    <x v="0"/>
    <x v="304"/>
    <x v="0"/>
  </r>
  <r>
    <x v="6"/>
    <x v="304"/>
    <x v="4"/>
  </r>
  <r>
    <x v="10"/>
    <x v="305"/>
    <x v="70"/>
  </r>
  <r>
    <x v="1"/>
    <x v="305"/>
    <x v="52"/>
  </r>
  <r>
    <x v="2"/>
    <x v="305"/>
    <x v="75"/>
  </r>
  <r>
    <x v="3"/>
    <x v="305"/>
    <x v="63"/>
  </r>
  <r>
    <x v="9"/>
    <x v="305"/>
    <x v="33"/>
  </r>
  <r>
    <x v="0"/>
    <x v="305"/>
    <x v="87"/>
  </r>
  <r>
    <x v="8"/>
    <x v="305"/>
    <x v="32"/>
  </r>
  <r>
    <x v="4"/>
    <x v="305"/>
    <x v="13"/>
  </r>
  <r>
    <x v="5"/>
    <x v="305"/>
    <x v="94"/>
  </r>
  <r>
    <x v="6"/>
    <x v="305"/>
    <x v="17"/>
  </r>
  <r>
    <x v="7"/>
    <x v="305"/>
    <x v="25"/>
  </r>
  <r>
    <x v="10"/>
    <x v="306"/>
    <x v="0"/>
  </r>
  <r>
    <x v="9"/>
    <x v="306"/>
    <x v="1"/>
  </r>
  <r>
    <x v="0"/>
    <x v="306"/>
    <x v="0"/>
  </r>
  <r>
    <x v="8"/>
    <x v="306"/>
    <x v="1"/>
  </r>
  <r>
    <x v="4"/>
    <x v="306"/>
    <x v="0"/>
  </r>
  <r>
    <x v="5"/>
    <x v="306"/>
    <x v="1"/>
  </r>
  <r>
    <x v="6"/>
    <x v="306"/>
    <x v="0"/>
  </r>
  <r>
    <x v="10"/>
    <x v="307"/>
    <x v="0"/>
  </r>
  <r>
    <x v="0"/>
    <x v="307"/>
    <x v="0"/>
  </r>
  <r>
    <x v="8"/>
    <x v="307"/>
    <x v="0"/>
  </r>
  <r>
    <x v="10"/>
    <x v="308"/>
    <x v="6"/>
  </r>
  <r>
    <x v="1"/>
    <x v="308"/>
    <x v="10"/>
  </r>
  <r>
    <x v="2"/>
    <x v="308"/>
    <x v="2"/>
  </r>
  <r>
    <x v="3"/>
    <x v="308"/>
    <x v="4"/>
  </r>
  <r>
    <x v="9"/>
    <x v="308"/>
    <x v="2"/>
  </r>
  <r>
    <x v="0"/>
    <x v="308"/>
    <x v="5"/>
  </r>
  <r>
    <x v="8"/>
    <x v="308"/>
    <x v="4"/>
  </r>
  <r>
    <x v="4"/>
    <x v="308"/>
    <x v="7"/>
  </r>
  <r>
    <x v="5"/>
    <x v="308"/>
    <x v="9"/>
  </r>
  <r>
    <x v="6"/>
    <x v="308"/>
    <x v="49"/>
  </r>
  <r>
    <x v="7"/>
    <x v="308"/>
    <x v="1"/>
  </r>
  <r>
    <x v="10"/>
    <x v="309"/>
    <x v="4"/>
  </r>
  <r>
    <x v="10"/>
    <x v="310"/>
    <x v="107"/>
  </r>
  <r>
    <x v="1"/>
    <x v="310"/>
    <x v="108"/>
  </r>
  <r>
    <x v="2"/>
    <x v="310"/>
    <x v="63"/>
  </r>
  <r>
    <x v="3"/>
    <x v="310"/>
    <x v="64"/>
  </r>
  <r>
    <x v="9"/>
    <x v="310"/>
    <x v="104"/>
  </r>
  <r>
    <x v="0"/>
    <x v="310"/>
    <x v="109"/>
  </r>
  <r>
    <x v="8"/>
    <x v="310"/>
    <x v="15"/>
  </r>
  <r>
    <x v="4"/>
    <x v="310"/>
    <x v="7"/>
  </r>
  <r>
    <x v="5"/>
    <x v="310"/>
    <x v="47"/>
  </r>
  <r>
    <x v="6"/>
    <x v="310"/>
    <x v="42"/>
  </r>
  <r>
    <x v="7"/>
    <x v="310"/>
    <x v="13"/>
  </r>
  <r>
    <x v="3"/>
    <x v="311"/>
    <x v="0"/>
  </r>
  <r>
    <x v="9"/>
    <x v="311"/>
    <x v="0"/>
  </r>
  <r>
    <x v="8"/>
    <x v="311"/>
    <x v="0"/>
  </r>
  <r>
    <x v="6"/>
    <x v="311"/>
    <x v="0"/>
  </r>
  <r>
    <x v="7"/>
    <x v="311"/>
    <x v="1"/>
  </r>
  <r>
    <x v="3"/>
    <x v="312"/>
    <x v="0"/>
  </r>
  <r>
    <x v="1"/>
    <x v="313"/>
    <x v="0"/>
  </r>
  <r>
    <x v="2"/>
    <x v="313"/>
    <x v="0"/>
  </r>
  <r>
    <x v="3"/>
    <x v="313"/>
    <x v="0"/>
  </r>
  <r>
    <x v="9"/>
    <x v="313"/>
    <x v="0"/>
  </r>
  <r>
    <x v="0"/>
    <x v="313"/>
    <x v="1"/>
  </r>
  <r>
    <x v="8"/>
    <x v="313"/>
    <x v="6"/>
  </r>
  <r>
    <x v="4"/>
    <x v="313"/>
    <x v="0"/>
  </r>
  <r>
    <x v="5"/>
    <x v="313"/>
    <x v="2"/>
  </r>
  <r>
    <x v="6"/>
    <x v="313"/>
    <x v="10"/>
  </r>
  <r>
    <x v="7"/>
    <x v="313"/>
    <x v="1"/>
  </r>
  <r>
    <x v="10"/>
    <x v="314"/>
    <x v="2"/>
  </r>
  <r>
    <x v="1"/>
    <x v="314"/>
    <x v="2"/>
  </r>
  <r>
    <x v="2"/>
    <x v="314"/>
    <x v="12"/>
  </r>
  <r>
    <x v="3"/>
    <x v="314"/>
    <x v="4"/>
  </r>
  <r>
    <x v="9"/>
    <x v="314"/>
    <x v="49"/>
  </r>
  <r>
    <x v="0"/>
    <x v="314"/>
    <x v="0"/>
  </r>
  <r>
    <x v="8"/>
    <x v="314"/>
    <x v="1"/>
  </r>
  <r>
    <x v="4"/>
    <x v="314"/>
    <x v="4"/>
  </r>
  <r>
    <x v="5"/>
    <x v="314"/>
    <x v="0"/>
  </r>
  <r>
    <x v="6"/>
    <x v="314"/>
    <x v="1"/>
  </r>
  <r>
    <x v="6"/>
    <x v="314"/>
    <x v="0"/>
  </r>
  <r>
    <x v="10"/>
    <x v="315"/>
    <x v="2"/>
  </r>
  <r>
    <x v="1"/>
    <x v="315"/>
    <x v="6"/>
  </r>
  <r>
    <x v="2"/>
    <x v="315"/>
    <x v="2"/>
  </r>
  <r>
    <x v="3"/>
    <x v="315"/>
    <x v="4"/>
  </r>
  <r>
    <x v="9"/>
    <x v="315"/>
    <x v="0"/>
  </r>
  <r>
    <x v="0"/>
    <x v="315"/>
    <x v="0"/>
  </r>
  <r>
    <x v="8"/>
    <x v="315"/>
    <x v="0"/>
  </r>
  <r>
    <x v="4"/>
    <x v="315"/>
    <x v="4"/>
  </r>
  <r>
    <x v="5"/>
    <x v="315"/>
    <x v="0"/>
  </r>
  <r>
    <x v="6"/>
    <x v="315"/>
    <x v="6"/>
  </r>
  <r>
    <x v="7"/>
    <x v="315"/>
    <x v="4"/>
  </r>
  <r>
    <x v="8"/>
    <x v="316"/>
    <x v="0"/>
  </r>
  <r>
    <x v="4"/>
    <x v="316"/>
    <x v="1"/>
  </r>
  <r>
    <x v="5"/>
    <x v="316"/>
    <x v="5"/>
  </r>
  <r>
    <x v="6"/>
    <x v="316"/>
    <x v="0"/>
  </r>
  <r>
    <x v="10"/>
    <x v="317"/>
    <x v="0"/>
  </r>
  <r>
    <x v="2"/>
    <x v="317"/>
    <x v="0"/>
  </r>
  <r>
    <x v="3"/>
    <x v="317"/>
    <x v="10"/>
  </r>
  <r>
    <x v="9"/>
    <x v="317"/>
    <x v="2"/>
  </r>
  <r>
    <x v="0"/>
    <x v="317"/>
    <x v="1"/>
  </r>
  <r>
    <x v="8"/>
    <x v="317"/>
    <x v="2"/>
  </r>
  <r>
    <x v="4"/>
    <x v="318"/>
    <x v="0"/>
  </r>
  <r>
    <x v="5"/>
    <x v="318"/>
    <x v="0"/>
  </r>
  <r>
    <x v="7"/>
    <x v="318"/>
    <x v="4"/>
  </r>
  <r>
    <x v="3"/>
    <x v="319"/>
    <x v="0"/>
  </r>
  <r>
    <x v="6"/>
    <x v="319"/>
    <x v="0"/>
  </r>
  <r>
    <x v="7"/>
    <x v="319"/>
    <x v="0"/>
  </r>
  <r>
    <x v="10"/>
    <x v="320"/>
    <x v="66"/>
  </r>
  <r>
    <x v="1"/>
    <x v="320"/>
    <x v="72"/>
  </r>
  <r>
    <x v="2"/>
    <x v="320"/>
    <x v="75"/>
  </r>
  <r>
    <x v="3"/>
    <x v="320"/>
    <x v="2"/>
  </r>
  <r>
    <x v="9"/>
    <x v="320"/>
    <x v="0"/>
  </r>
  <r>
    <x v="0"/>
    <x v="320"/>
    <x v="9"/>
  </r>
  <r>
    <x v="4"/>
    <x v="320"/>
    <x v="10"/>
  </r>
  <r>
    <x v="5"/>
    <x v="320"/>
    <x v="17"/>
  </r>
  <r>
    <x v="6"/>
    <x v="320"/>
    <x v="9"/>
  </r>
  <r>
    <x v="7"/>
    <x v="320"/>
    <x v="4"/>
  </r>
  <r>
    <x v="10"/>
    <x v="321"/>
    <x v="47"/>
  </r>
  <r>
    <x v="1"/>
    <x v="321"/>
    <x v="2"/>
  </r>
  <r>
    <x v="2"/>
    <x v="321"/>
    <x v="65"/>
  </r>
  <r>
    <x v="3"/>
    <x v="321"/>
    <x v="47"/>
  </r>
  <r>
    <x v="9"/>
    <x v="321"/>
    <x v="18"/>
  </r>
  <r>
    <x v="0"/>
    <x v="321"/>
    <x v="16"/>
  </r>
  <r>
    <x v="8"/>
    <x v="321"/>
    <x v="12"/>
  </r>
  <r>
    <x v="4"/>
    <x v="321"/>
    <x v="8"/>
  </r>
  <r>
    <x v="5"/>
    <x v="321"/>
    <x v="77"/>
  </r>
  <r>
    <x v="6"/>
    <x v="321"/>
    <x v="9"/>
  </r>
  <r>
    <x v="7"/>
    <x v="321"/>
    <x v="18"/>
  </r>
  <r>
    <x v="10"/>
    <x v="322"/>
    <x v="3"/>
  </r>
  <r>
    <x v="2"/>
    <x v="322"/>
    <x v="1"/>
  </r>
  <r>
    <x v="3"/>
    <x v="322"/>
    <x v="0"/>
  </r>
  <r>
    <x v="9"/>
    <x v="322"/>
    <x v="1"/>
  </r>
  <r>
    <x v="0"/>
    <x v="322"/>
    <x v="0"/>
  </r>
  <r>
    <x v="8"/>
    <x v="322"/>
    <x v="4"/>
  </r>
  <r>
    <x v="4"/>
    <x v="322"/>
    <x v="10"/>
  </r>
  <r>
    <x v="4"/>
    <x v="322"/>
    <x v="0"/>
  </r>
  <r>
    <x v="5"/>
    <x v="322"/>
    <x v="0"/>
  </r>
  <r>
    <x v="6"/>
    <x v="322"/>
    <x v="0"/>
  </r>
  <r>
    <x v="1"/>
    <x v="323"/>
    <x v="0"/>
  </r>
  <r>
    <x v="2"/>
    <x v="323"/>
    <x v="0"/>
  </r>
  <r>
    <x v="5"/>
    <x v="323"/>
    <x v="0"/>
  </r>
  <r>
    <x v="6"/>
    <x v="323"/>
    <x v="0"/>
  </r>
  <r>
    <x v="3"/>
    <x v="324"/>
    <x v="4"/>
  </r>
  <r>
    <x v="1"/>
    <x v="325"/>
    <x v="1"/>
  </r>
  <r>
    <x v="2"/>
    <x v="325"/>
    <x v="0"/>
  </r>
  <r>
    <x v="5"/>
    <x v="325"/>
    <x v="4"/>
  </r>
  <r>
    <x v="6"/>
    <x v="325"/>
    <x v="0"/>
  </r>
  <r>
    <x v="7"/>
    <x v="325"/>
    <x v="0"/>
  </r>
  <r>
    <x v="9"/>
    <x v="326"/>
    <x v="0"/>
  </r>
  <r>
    <x v="0"/>
    <x v="326"/>
    <x v="0"/>
  </r>
  <r>
    <x v="4"/>
    <x v="326"/>
    <x v="0"/>
  </r>
  <r>
    <x v="5"/>
    <x v="326"/>
    <x v="1"/>
  </r>
  <r>
    <x v="6"/>
    <x v="326"/>
    <x v="0"/>
  </r>
  <r>
    <x v="7"/>
    <x v="326"/>
    <x v="0"/>
  </r>
  <r>
    <x v="10"/>
    <x v="327"/>
    <x v="1"/>
  </r>
  <r>
    <x v="1"/>
    <x v="327"/>
    <x v="4"/>
  </r>
  <r>
    <x v="2"/>
    <x v="327"/>
    <x v="10"/>
  </r>
  <r>
    <x v="3"/>
    <x v="327"/>
    <x v="0"/>
  </r>
  <r>
    <x v="9"/>
    <x v="327"/>
    <x v="5"/>
  </r>
  <r>
    <x v="0"/>
    <x v="327"/>
    <x v="0"/>
  </r>
  <r>
    <x v="8"/>
    <x v="327"/>
    <x v="4"/>
  </r>
  <r>
    <x v="4"/>
    <x v="327"/>
    <x v="1"/>
  </r>
  <r>
    <x v="5"/>
    <x v="327"/>
    <x v="2"/>
  </r>
  <r>
    <x v="6"/>
    <x v="327"/>
    <x v="2"/>
  </r>
  <r>
    <x v="7"/>
    <x v="327"/>
    <x v="10"/>
  </r>
  <r>
    <x v="10"/>
    <x v="328"/>
    <x v="1"/>
  </r>
  <r>
    <x v="10"/>
    <x v="329"/>
    <x v="10"/>
  </r>
  <r>
    <x v="1"/>
    <x v="329"/>
    <x v="10"/>
  </r>
  <r>
    <x v="2"/>
    <x v="329"/>
    <x v="4"/>
  </r>
  <r>
    <x v="3"/>
    <x v="329"/>
    <x v="1"/>
  </r>
  <r>
    <x v="9"/>
    <x v="329"/>
    <x v="10"/>
  </r>
  <r>
    <x v="0"/>
    <x v="329"/>
    <x v="6"/>
  </r>
  <r>
    <x v="8"/>
    <x v="329"/>
    <x v="10"/>
  </r>
  <r>
    <x v="4"/>
    <x v="329"/>
    <x v="6"/>
  </r>
  <r>
    <x v="5"/>
    <x v="329"/>
    <x v="2"/>
  </r>
  <r>
    <x v="6"/>
    <x v="329"/>
    <x v="1"/>
  </r>
  <r>
    <x v="7"/>
    <x v="329"/>
    <x v="7"/>
  </r>
  <r>
    <x v="1"/>
    <x v="330"/>
    <x v="0"/>
  </r>
  <r>
    <x v="9"/>
    <x v="330"/>
    <x v="1"/>
  </r>
  <r>
    <x v="4"/>
    <x v="330"/>
    <x v="0"/>
  </r>
  <r>
    <x v="3"/>
    <x v="331"/>
    <x v="0"/>
  </r>
  <r>
    <x v="2"/>
    <x v="332"/>
    <x v="0"/>
  </r>
  <r>
    <x v="9"/>
    <x v="333"/>
    <x v="0"/>
  </r>
  <r>
    <x v="5"/>
    <x v="333"/>
    <x v="0"/>
  </r>
  <r>
    <x v="6"/>
    <x v="333"/>
    <x v="1"/>
  </r>
  <r>
    <x v="1"/>
    <x v="334"/>
    <x v="0"/>
  </r>
  <r>
    <x v="0"/>
    <x v="335"/>
    <x v="0"/>
  </r>
  <r>
    <x v="6"/>
    <x v="335"/>
    <x v="1"/>
  </r>
  <r>
    <x v="1"/>
    <x v="336"/>
    <x v="4"/>
  </r>
  <r>
    <x v="2"/>
    <x v="336"/>
    <x v="1"/>
  </r>
  <r>
    <x v="3"/>
    <x v="336"/>
    <x v="1"/>
  </r>
  <r>
    <x v="0"/>
    <x v="336"/>
    <x v="1"/>
  </r>
  <r>
    <x v="8"/>
    <x v="336"/>
    <x v="4"/>
  </r>
  <r>
    <x v="4"/>
    <x v="336"/>
    <x v="2"/>
  </r>
  <r>
    <x v="5"/>
    <x v="336"/>
    <x v="1"/>
  </r>
  <r>
    <x v="6"/>
    <x v="336"/>
    <x v="1"/>
  </r>
  <r>
    <x v="7"/>
    <x v="336"/>
    <x v="4"/>
  </r>
  <r>
    <x v="10"/>
    <x v="337"/>
    <x v="0"/>
  </r>
  <r>
    <x v="5"/>
    <x v="337"/>
    <x v="0"/>
  </r>
  <r>
    <x v="6"/>
    <x v="337"/>
    <x v="0"/>
  </r>
  <r>
    <x v="7"/>
    <x v="337"/>
    <x v="4"/>
  </r>
  <r>
    <x v="10"/>
    <x v="338"/>
    <x v="0"/>
  </r>
  <r>
    <x v="2"/>
    <x v="338"/>
    <x v="0"/>
  </r>
  <r>
    <x v="0"/>
    <x v="338"/>
    <x v="0"/>
  </r>
  <r>
    <x v="5"/>
    <x v="338"/>
    <x v="0"/>
  </r>
  <r>
    <x v="3"/>
    <x v="339"/>
    <x v="0"/>
  </r>
  <r>
    <x v="0"/>
    <x v="339"/>
    <x v="0"/>
  </r>
  <r>
    <x v="8"/>
    <x v="339"/>
    <x v="0"/>
  </r>
  <r>
    <x v="1"/>
    <x v="340"/>
    <x v="10"/>
  </r>
  <r>
    <x v="2"/>
    <x v="340"/>
    <x v="6"/>
  </r>
  <r>
    <x v="9"/>
    <x v="340"/>
    <x v="0"/>
  </r>
  <r>
    <x v="8"/>
    <x v="340"/>
    <x v="0"/>
  </r>
  <r>
    <x v="5"/>
    <x v="340"/>
    <x v="2"/>
  </r>
  <r>
    <x v="6"/>
    <x v="340"/>
    <x v="0"/>
  </r>
  <r>
    <x v="7"/>
    <x v="340"/>
    <x v="5"/>
  </r>
  <r>
    <x v="10"/>
    <x v="341"/>
    <x v="0"/>
  </r>
  <r>
    <x v="0"/>
    <x v="341"/>
    <x v="0"/>
  </r>
  <r>
    <x v="8"/>
    <x v="341"/>
    <x v="1"/>
  </r>
  <r>
    <x v="4"/>
    <x v="341"/>
    <x v="0"/>
  </r>
  <r>
    <x v="5"/>
    <x v="341"/>
    <x v="1"/>
  </r>
  <r>
    <x v="6"/>
    <x v="341"/>
    <x v="0"/>
  </r>
  <r>
    <x v="7"/>
    <x v="341"/>
    <x v="0"/>
  </r>
  <r>
    <x v="10"/>
    <x v="342"/>
    <x v="1"/>
  </r>
  <r>
    <x v="1"/>
    <x v="342"/>
    <x v="1"/>
  </r>
  <r>
    <x v="8"/>
    <x v="342"/>
    <x v="1"/>
  </r>
  <r>
    <x v="4"/>
    <x v="342"/>
    <x v="0"/>
  </r>
  <r>
    <x v="5"/>
    <x v="342"/>
    <x v="2"/>
  </r>
  <r>
    <x v="6"/>
    <x v="342"/>
    <x v="0"/>
  </r>
  <r>
    <x v="7"/>
    <x v="342"/>
    <x v="0"/>
  </r>
  <r>
    <x v="10"/>
    <x v="343"/>
    <x v="6"/>
  </r>
  <r>
    <x v="1"/>
    <x v="343"/>
    <x v="6"/>
  </r>
  <r>
    <x v="2"/>
    <x v="343"/>
    <x v="2"/>
  </r>
  <r>
    <x v="3"/>
    <x v="343"/>
    <x v="0"/>
  </r>
  <r>
    <x v="9"/>
    <x v="343"/>
    <x v="3"/>
  </r>
  <r>
    <x v="0"/>
    <x v="343"/>
    <x v="5"/>
  </r>
  <r>
    <x v="8"/>
    <x v="343"/>
    <x v="0"/>
  </r>
  <r>
    <x v="4"/>
    <x v="343"/>
    <x v="10"/>
  </r>
  <r>
    <x v="5"/>
    <x v="343"/>
    <x v="6"/>
  </r>
  <r>
    <x v="6"/>
    <x v="343"/>
    <x v="1"/>
  </r>
  <r>
    <x v="7"/>
    <x v="343"/>
    <x v="0"/>
  </r>
  <r>
    <x v="10"/>
    <x v="344"/>
    <x v="12"/>
  </r>
  <r>
    <x v="1"/>
    <x v="344"/>
    <x v="1"/>
  </r>
  <r>
    <x v="2"/>
    <x v="344"/>
    <x v="6"/>
  </r>
  <r>
    <x v="3"/>
    <x v="344"/>
    <x v="0"/>
  </r>
  <r>
    <x v="9"/>
    <x v="344"/>
    <x v="48"/>
  </r>
  <r>
    <x v="0"/>
    <x v="344"/>
    <x v="7"/>
  </r>
  <r>
    <x v="8"/>
    <x v="344"/>
    <x v="0"/>
  </r>
  <r>
    <x v="4"/>
    <x v="344"/>
    <x v="0"/>
  </r>
  <r>
    <x v="5"/>
    <x v="344"/>
    <x v="4"/>
  </r>
  <r>
    <x v="7"/>
    <x v="344"/>
    <x v="2"/>
  </r>
  <r>
    <x v="0"/>
    <x v="345"/>
    <x v="1"/>
  </r>
  <r>
    <x v="6"/>
    <x v="345"/>
    <x v="1"/>
  </r>
  <r>
    <x v="7"/>
    <x v="345"/>
    <x v="0"/>
  </r>
  <r>
    <x v="10"/>
    <x v="346"/>
    <x v="20"/>
  </r>
  <r>
    <x v="1"/>
    <x v="346"/>
    <x v="71"/>
  </r>
  <r>
    <x v="2"/>
    <x v="346"/>
    <x v="48"/>
  </r>
  <r>
    <x v="3"/>
    <x v="346"/>
    <x v="48"/>
  </r>
  <r>
    <x v="9"/>
    <x v="346"/>
    <x v="49"/>
  </r>
  <r>
    <x v="0"/>
    <x v="346"/>
    <x v="47"/>
  </r>
  <r>
    <x v="8"/>
    <x v="346"/>
    <x v="75"/>
  </r>
  <r>
    <x v="4"/>
    <x v="346"/>
    <x v="11"/>
  </r>
  <r>
    <x v="5"/>
    <x v="346"/>
    <x v="47"/>
  </r>
  <r>
    <x v="6"/>
    <x v="346"/>
    <x v="17"/>
  </r>
  <r>
    <x v="7"/>
    <x v="346"/>
    <x v="60"/>
  </r>
  <r>
    <x v="0"/>
    <x v="347"/>
    <x v="1"/>
  </r>
  <r>
    <x v="4"/>
    <x v="347"/>
    <x v="1"/>
  </r>
  <r>
    <x v="7"/>
    <x v="347"/>
    <x v="4"/>
  </r>
  <r>
    <x v="1"/>
    <x v="348"/>
    <x v="0"/>
  </r>
  <r>
    <x v="0"/>
    <x v="348"/>
    <x v="0"/>
  </r>
  <r>
    <x v="4"/>
    <x v="348"/>
    <x v="1"/>
  </r>
  <r>
    <x v="6"/>
    <x v="348"/>
    <x v="0"/>
  </r>
  <r>
    <x v="7"/>
    <x v="348"/>
    <x v="0"/>
  </r>
  <r>
    <x v="8"/>
    <x v="349"/>
    <x v="41"/>
  </r>
  <r>
    <x v="4"/>
    <x v="349"/>
    <x v="47"/>
  </r>
  <r>
    <x v="8"/>
    <x v="350"/>
    <x v="110"/>
  </r>
  <r>
    <x v="4"/>
    <x v="350"/>
    <x v="4"/>
  </r>
  <r>
    <x v="9"/>
    <x v="351"/>
    <x v="0"/>
  </r>
  <r>
    <x v="8"/>
    <x v="351"/>
    <x v="0"/>
  </r>
  <r>
    <x v="4"/>
    <x v="351"/>
    <x v="1"/>
  </r>
  <r>
    <x v="5"/>
    <x v="351"/>
    <x v="0"/>
  </r>
  <r>
    <x v="6"/>
    <x v="351"/>
    <x v="1"/>
  </r>
  <r>
    <x v="4"/>
    <x v="352"/>
    <x v="0"/>
  </r>
  <r>
    <x v="10"/>
    <x v="353"/>
    <x v="1"/>
  </r>
  <r>
    <x v="2"/>
    <x v="353"/>
    <x v="0"/>
  </r>
  <r>
    <x v="5"/>
    <x v="353"/>
    <x v="0"/>
  </r>
  <r>
    <x v="6"/>
    <x v="353"/>
    <x v="0"/>
  </r>
  <r>
    <x v="7"/>
    <x v="353"/>
    <x v="4"/>
  </r>
  <r>
    <x v="10"/>
    <x v="354"/>
    <x v="4"/>
  </r>
  <r>
    <x v="1"/>
    <x v="354"/>
    <x v="4"/>
  </r>
  <r>
    <x v="2"/>
    <x v="354"/>
    <x v="6"/>
  </r>
  <r>
    <x v="3"/>
    <x v="354"/>
    <x v="10"/>
  </r>
  <r>
    <x v="9"/>
    <x v="354"/>
    <x v="7"/>
  </r>
  <r>
    <x v="0"/>
    <x v="354"/>
    <x v="5"/>
  </r>
  <r>
    <x v="8"/>
    <x v="354"/>
    <x v="1"/>
  </r>
  <r>
    <x v="4"/>
    <x v="354"/>
    <x v="1"/>
  </r>
  <r>
    <x v="5"/>
    <x v="354"/>
    <x v="6"/>
  </r>
  <r>
    <x v="6"/>
    <x v="354"/>
    <x v="4"/>
  </r>
  <r>
    <x v="7"/>
    <x v="354"/>
    <x v="6"/>
  </r>
  <r>
    <x v="1"/>
    <x v="355"/>
    <x v="1"/>
  </r>
  <r>
    <x v="4"/>
    <x v="355"/>
    <x v="0"/>
  </r>
  <r>
    <x v="6"/>
    <x v="355"/>
    <x v="0"/>
  </r>
  <r>
    <x v="1"/>
    <x v="356"/>
    <x v="10"/>
  </r>
  <r>
    <x v="2"/>
    <x v="356"/>
    <x v="8"/>
  </r>
  <r>
    <x v="9"/>
    <x v="356"/>
    <x v="1"/>
  </r>
  <r>
    <x v="0"/>
    <x v="356"/>
    <x v="8"/>
  </r>
  <r>
    <x v="8"/>
    <x v="356"/>
    <x v="0"/>
  </r>
  <r>
    <x v="6"/>
    <x v="356"/>
    <x v="49"/>
  </r>
  <r>
    <x v="4"/>
    <x v="357"/>
    <x v="3"/>
  </r>
  <r>
    <x v="5"/>
    <x v="357"/>
    <x v="1"/>
  </r>
  <r>
    <x v="6"/>
    <x v="357"/>
    <x v="0"/>
  </r>
  <r>
    <x v="10"/>
    <x v="358"/>
    <x v="4"/>
  </r>
  <r>
    <x v="1"/>
    <x v="358"/>
    <x v="4"/>
  </r>
  <r>
    <x v="2"/>
    <x v="358"/>
    <x v="6"/>
  </r>
  <r>
    <x v="9"/>
    <x v="358"/>
    <x v="1"/>
  </r>
  <r>
    <x v="5"/>
    <x v="358"/>
    <x v="1"/>
  </r>
  <r>
    <x v="6"/>
    <x v="358"/>
    <x v="0"/>
  </r>
  <r>
    <x v="7"/>
    <x v="358"/>
    <x v="1"/>
  </r>
  <r>
    <x v="10"/>
    <x v="359"/>
    <x v="4"/>
  </r>
  <r>
    <x v="1"/>
    <x v="359"/>
    <x v="1"/>
  </r>
  <r>
    <x v="2"/>
    <x v="359"/>
    <x v="1"/>
  </r>
  <r>
    <x v="9"/>
    <x v="359"/>
    <x v="1"/>
  </r>
  <r>
    <x v="0"/>
    <x v="359"/>
    <x v="0"/>
  </r>
  <r>
    <x v="5"/>
    <x v="359"/>
    <x v="6"/>
  </r>
  <r>
    <x v="6"/>
    <x v="359"/>
    <x v="4"/>
  </r>
  <r>
    <x v="7"/>
    <x v="359"/>
    <x v="1"/>
  </r>
  <r>
    <x v="10"/>
    <x v="360"/>
    <x v="3"/>
  </r>
  <r>
    <x v="2"/>
    <x v="360"/>
    <x v="6"/>
  </r>
  <r>
    <x v="0"/>
    <x v="360"/>
    <x v="9"/>
  </r>
  <r>
    <x v="5"/>
    <x v="360"/>
    <x v="4"/>
  </r>
  <r>
    <x v="6"/>
    <x v="360"/>
    <x v="0"/>
  </r>
  <r>
    <x v="7"/>
    <x v="360"/>
    <x v="5"/>
  </r>
  <r>
    <x v="1"/>
    <x v="361"/>
    <x v="4"/>
  </r>
  <r>
    <x v="2"/>
    <x v="361"/>
    <x v="3"/>
  </r>
  <r>
    <x v="8"/>
    <x v="361"/>
    <x v="1"/>
  </r>
  <r>
    <x v="4"/>
    <x v="361"/>
    <x v="1"/>
  </r>
  <r>
    <x v="6"/>
    <x v="361"/>
    <x v="3"/>
  </r>
  <r>
    <x v="7"/>
    <x v="361"/>
    <x v="4"/>
  </r>
  <r>
    <x v="10"/>
    <x v="362"/>
    <x v="65"/>
  </r>
  <r>
    <x v="2"/>
    <x v="362"/>
    <x v="6"/>
  </r>
  <r>
    <x v="9"/>
    <x v="362"/>
    <x v="6"/>
  </r>
  <r>
    <x v="0"/>
    <x v="362"/>
    <x v="18"/>
  </r>
  <r>
    <x v="6"/>
    <x v="362"/>
    <x v="8"/>
  </r>
  <r>
    <x v="7"/>
    <x v="362"/>
    <x v="65"/>
  </r>
  <r>
    <x v="10"/>
    <x v="363"/>
    <x v="0"/>
  </r>
  <r>
    <x v="1"/>
    <x v="363"/>
    <x v="1"/>
  </r>
  <r>
    <x v="2"/>
    <x v="363"/>
    <x v="2"/>
  </r>
  <r>
    <x v="9"/>
    <x v="363"/>
    <x v="1"/>
  </r>
  <r>
    <x v="0"/>
    <x v="363"/>
    <x v="6"/>
  </r>
  <r>
    <x v="8"/>
    <x v="363"/>
    <x v="1"/>
  </r>
  <r>
    <x v="4"/>
    <x v="363"/>
    <x v="0"/>
  </r>
  <r>
    <x v="5"/>
    <x v="363"/>
    <x v="1"/>
  </r>
  <r>
    <x v="6"/>
    <x v="363"/>
    <x v="4"/>
  </r>
  <r>
    <x v="7"/>
    <x v="363"/>
    <x v="1"/>
  </r>
  <r>
    <x v="5"/>
    <x v="364"/>
    <x v="0"/>
  </r>
  <r>
    <x v="6"/>
    <x v="364"/>
    <x v="0"/>
  </r>
  <r>
    <x v="7"/>
    <x v="364"/>
    <x v="0"/>
  </r>
  <r>
    <x v="10"/>
    <x v="365"/>
    <x v="0"/>
  </r>
  <r>
    <x v="1"/>
    <x v="365"/>
    <x v="1"/>
  </r>
  <r>
    <x v="3"/>
    <x v="365"/>
    <x v="0"/>
  </r>
  <r>
    <x v="9"/>
    <x v="365"/>
    <x v="0"/>
  </r>
  <r>
    <x v="8"/>
    <x v="365"/>
    <x v="1"/>
  </r>
  <r>
    <x v="4"/>
    <x v="365"/>
    <x v="0"/>
  </r>
  <r>
    <x v="6"/>
    <x v="365"/>
    <x v="0"/>
  </r>
  <r>
    <x v="2"/>
    <x v="366"/>
    <x v="0"/>
  </r>
  <r>
    <x v="3"/>
    <x v="366"/>
    <x v="0"/>
  </r>
  <r>
    <x v="0"/>
    <x v="366"/>
    <x v="0"/>
  </r>
  <r>
    <x v="4"/>
    <x v="366"/>
    <x v="1"/>
  </r>
  <r>
    <x v="5"/>
    <x v="366"/>
    <x v="0"/>
  </r>
  <r>
    <x v="6"/>
    <x v="366"/>
    <x v="0"/>
  </r>
  <r>
    <x v="10"/>
    <x v="367"/>
    <x v="1"/>
  </r>
  <r>
    <x v="10"/>
    <x v="367"/>
    <x v="4"/>
  </r>
  <r>
    <x v="1"/>
    <x v="367"/>
    <x v="4"/>
  </r>
  <r>
    <x v="3"/>
    <x v="367"/>
    <x v="0"/>
  </r>
  <r>
    <x v="3"/>
    <x v="367"/>
    <x v="4"/>
  </r>
  <r>
    <x v="9"/>
    <x v="367"/>
    <x v="2"/>
  </r>
  <r>
    <x v="0"/>
    <x v="367"/>
    <x v="0"/>
  </r>
  <r>
    <x v="0"/>
    <x v="367"/>
    <x v="0"/>
  </r>
  <r>
    <x v="4"/>
    <x v="367"/>
    <x v="1"/>
  </r>
  <r>
    <x v="5"/>
    <x v="367"/>
    <x v="0"/>
  </r>
  <r>
    <x v="5"/>
    <x v="367"/>
    <x v="0"/>
  </r>
  <r>
    <x v="6"/>
    <x v="367"/>
    <x v="1"/>
  </r>
  <r>
    <x v="7"/>
    <x v="367"/>
    <x v="1"/>
  </r>
  <r>
    <x v="10"/>
    <x v="368"/>
    <x v="1"/>
  </r>
  <r>
    <x v="2"/>
    <x v="368"/>
    <x v="1"/>
  </r>
  <r>
    <x v="5"/>
    <x v="368"/>
    <x v="1"/>
  </r>
  <r>
    <x v="6"/>
    <x v="368"/>
    <x v="4"/>
  </r>
  <r>
    <x v="7"/>
    <x v="368"/>
    <x v="1"/>
  </r>
  <r>
    <x v="10"/>
    <x v="369"/>
    <x v="4"/>
  </r>
  <r>
    <x v="1"/>
    <x v="369"/>
    <x v="1"/>
  </r>
  <r>
    <x v="2"/>
    <x v="369"/>
    <x v="4"/>
  </r>
  <r>
    <x v="3"/>
    <x v="369"/>
    <x v="0"/>
  </r>
  <r>
    <x v="9"/>
    <x v="369"/>
    <x v="0"/>
  </r>
  <r>
    <x v="0"/>
    <x v="369"/>
    <x v="9"/>
  </r>
  <r>
    <x v="8"/>
    <x v="369"/>
    <x v="48"/>
  </r>
  <r>
    <x v="4"/>
    <x v="369"/>
    <x v="0"/>
  </r>
  <r>
    <x v="5"/>
    <x v="369"/>
    <x v="1"/>
  </r>
  <r>
    <x v="7"/>
    <x v="369"/>
    <x v="9"/>
  </r>
  <r>
    <x v="10"/>
    <x v="370"/>
    <x v="1"/>
  </r>
  <r>
    <x v="1"/>
    <x v="370"/>
    <x v="0"/>
  </r>
  <r>
    <x v="0"/>
    <x v="370"/>
    <x v="0"/>
  </r>
  <r>
    <x v="4"/>
    <x v="370"/>
    <x v="1"/>
  </r>
  <r>
    <x v="7"/>
    <x v="370"/>
    <x v="0"/>
  </r>
  <r>
    <x v="0"/>
    <x v="371"/>
    <x v="1"/>
  </r>
  <r>
    <x v="4"/>
    <x v="371"/>
    <x v="1"/>
  </r>
  <r>
    <x v="4"/>
    <x v="372"/>
    <x v="0"/>
  </r>
  <r>
    <x v="2"/>
    <x v="373"/>
    <x v="0"/>
  </r>
  <r>
    <x v="3"/>
    <x v="373"/>
    <x v="1"/>
  </r>
  <r>
    <x v="6"/>
    <x v="373"/>
    <x v="0"/>
  </r>
  <r>
    <x v="2"/>
    <x v="374"/>
    <x v="0"/>
  </r>
  <r>
    <x v="5"/>
    <x v="374"/>
    <x v="0"/>
  </r>
  <r>
    <x v="6"/>
    <x v="374"/>
    <x v="0"/>
  </r>
  <r>
    <x v="1"/>
    <x v="375"/>
    <x v="4"/>
  </r>
  <r>
    <x v="2"/>
    <x v="375"/>
    <x v="1"/>
  </r>
  <r>
    <x v="3"/>
    <x v="375"/>
    <x v="0"/>
  </r>
  <r>
    <x v="0"/>
    <x v="375"/>
    <x v="0"/>
  </r>
  <r>
    <x v="4"/>
    <x v="375"/>
    <x v="1"/>
  </r>
  <r>
    <x v="5"/>
    <x v="375"/>
    <x v="4"/>
  </r>
  <r>
    <x v="6"/>
    <x v="375"/>
    <x v="1"/>
  </r>
  <r>
    <x v="7"/>
    <x v="375"/>
    <x v="0"/>
  </r>
  <r>
    <x v="10"/>
    <x v="376"/>
    <x v="0"/>
  </r>
  <r>
    <x v="1"/>
    <x v="376"/>
    <x v="0"/>
  </r>
  <r>
    <x v="10"/>
    <x v="377"/>
    <x v="0"/>
  </r>
  <r>
    <x v="1"/>
    <x v="377"/>
    <x v="1"/>
  </r>
  <r>
    <x v="2"/>
    <x v="377"/>
    <x v="0"/>
  </r>
  <r>
    <x v="1"/>
    <x v="378"/>
    <x v="0"/>
  </r>
  <r>
    <x v="3"/>
    <x v="378"/>
    <x v="0"/>
  </r>
  <r>
    <x v="9"/>
    <x v="378"/>
    <x v="4"/>
  </r>
  <r>
    <x v="4"/>
    <x v="379"/>
    <x v="0"/>
  </r>
  <r>
    <x v="9"/>
    <x v="380"/>
    <x v="1"/>
  </r>
  <r>
    <x v="5"/>
    <x v="380"/>
    <x v="4"/>
  </r>
  <r>
    <x v="6"/>
    <x v="380"/>
    <x v="1"/>
  </r>
  <r>
    <x v="7"/>
    <x v="380"/>
    <x v="0"/>
  </r>
  <r>
    <x v="10"/>
    <x v="381"/>
    <x v="4"/>
  </r>
  <r>
    <x v="1"/>
    <x v="381"/>
    <x v="0"/>
  </r>
  <r>
    <x v="0"/>
    <x v="381"/>
    <x v="0"/>
  </r>
  <r>
    <x v="5"/>
    <x v="381"/>
    <x v="0"/>
  </r>
  <r>
    <x v="6"/>
    <x v="381"/>
    <x v="0"/>
  </r>
  <r>
    <x v="1"/>
    <x v="382"/>
    <x v="0"/>
  </r>
  <r>
    <x v="2"/>
    <x v="383"/>
    <x v="1"/>
  </r>
  <r>
    <x v="3"/>
    <x v="383"/>
    <x v="0"/>
  </r>
  <r>
    <x v="8"/>
    <x v="383"/>
    <x v="1"/>
  </r>
  <r>
    <x v="5"/>
    <x v="383"/>
    <x v="0"/>
  </r>
  <r>
    <x v="6"/>
    <x v="383"/>
    <x v="1"/>
  </r>
  <r>
    <x v="7"/>
    <x v="383"/>
    <x v="0"/>
  </r>
  <r>
    <x v="4"/>
    <x v="384"/>
    <x v="0"/>
  </r>
  <r>
    <x v="10"/>
    <x v="385"/>
    <x v="2"/>
  </r>
  <r>
    <x v="1"/>
    <x v="385"/>
    <x v="1"/>
  </r>
  <r>
    <x v="2"/>
    <x v="385"/>
    <x v="4"/>
  </r>
  <r>
    <x v="9"/>
    <x v="385"/>
    <x v="10"/>
  </r>
  <r>
    <x v="0"/>
    <x v="385"/>
    <x v="1"/>
  </r>
  <r>
    <x v="8"/>
    <x v="385"/>
    <x v="1"/>
  </r>
  <r>
    <x v="4"/>
    <x v="385"/>
    <x v="2"/>
  </r>
  <r>
    <x v="5"/>
    <x v="385"/>
    <x v="1"/>
  </r>
  <r>
    <x v="6"/>
    <x v="385"/>
    <x v="2"/>
  </r>
  <r>
    <x v="7"/>
    <x v="385"/>
    <x v="1"/>
  </r>
  <r>
    <x v="2"/>
    <x v="386"/>
    <x v="0"/>
  </r>
  <r>
    <x v="3"/>
    <x v="386"/>
    <x v="4"/>
  </r>
  <r>
    <x v="1"/>
    <x v="387"/>
    <x v="4"/>
  </r>
  <r>
    <x v="2"/>
    <x v="387"/>
    <x v="4"/>
  </r>
  <r>
    <x v="8"/>
    <x v="387"/>
    <x v="4"/>
  </r>
  <r>
    <x v="5"/>
    <x v="387"/>
    <x v="4"/>
  </r>
  <r>
    <x v="6"/>
    <x v="387"/>
    <x v="4"/>
  </r>
  <r>
    <x v="7"/>
    <x v="387"/>
    <x v="4"/>
  </r>
  <r>
    <x v="10"/>
    <x v="388"/>
    <x v="4"/>
  </r>
  <r>
    <x v="1"/>
    <x v="388"/>
    <x v="0"/>
  </r>
  <r>
    <x v="9"/>
    <x v="388"/>
    <x v="3"/>
  </r>
  <r>
    <x v="0"/>
    <x v="388"/>
    <x v="1"/>
  </r>
  <r>
    <x v="8"/>
    <x v="388"/>
    <x v="1"/>
  </r>
  <r>
    <x v="4"/>
    <x v="388"/>
    <x v="1"/>
  </r>
  <r>
    <x v="5"/>
    <x v="388"/>
    <x v="0"/>
  </r>
  <r>
    <x v="6"/>
    <x v="388"/>
    <x v="0"/>
  </r>
  <r>
    <x v="7"/>
    <x v="388"/>
    <x v="0"/>
  </r>
  <r>
    <x v="10"/>
    <x v="389"/>
    <x v="0"/>
  </r>
  <r>
    <x v="1"/>
    <x v="389"/>
    <x v="1"/>
  </r>
  <r>
    <x v="2"/>
    <x v="389"/>
    <x v="0"/>
  </r>
  <r>
    <x v="9"/>
    <x v="389"/>
    <x v="1"/>
  </r>
  <r>
    <x v="8"/>
    <x v="389"/>
    <x v="0"/>
  </r>
  <r>
    <x v="4"/>
    <x v="389"/>
    <x v="0"/>
  </r>
  <r>
    <x v="6"/>
    <x v="389"/>
    <x v="1"/>
  </r>
  <r>
    <x v="7"/>
    <x v="389"/>
    <x v="0"/>
  </r>
  <r>
    <x v="1"/>
    <x v="390"/>
    <x v="4"/>
  </r>
  <r>
    <x v="2"/>
    <x v="390"/>
    <x v="4"/>
  </r>
  <r>
    <x v="3"/>
    <x v="390"/>
    <x v="0"/>
  </r>
  <r>
    <x v="9"/>
    <x v="390"/>
    <x v="4"/>
  </r>
  <r>
    <x v="0"/>
    <x v="390"/>
    <x v="1"/>
  </r>
  <r>
    <x v="8"/>
    <x v="390"/>
    <x v="1"/>
  </r>
  <r>
    <x v="5"/>
    <x v="390"/>
    <x v="4"/>
  </r>
  <r>
    <x v="6"/>
    <x v="390"/>
    <x v="4"/>
  </r>
  <r>
    <x v="10"/>
    <x v="391"/>
    <x v="4"/>
  </r>
  <r>
    <x v="1"/>
    <x v="391"/>
    <x v="10"/>
  </r>
  <r>
    <x v="2"/>
    <x v="391"/>
    <x v="48"/>
  </r>
  <r>
    <x v="3"/>
    <x v="391"/>
    <x v="6"/>
  </r>
  <r>
    <x v="9"/>
    <x v="391"/>
    <x v="65"/>
  </r>
  <r>
    <x v="0"/>
    <x v="391"/>
    <x v="65"/>
  </r>
  <r>
    <x v="4"/>
    <x v="391"/>
    <x v="2"/>
  </r>
  <r>
    <x v="5"/>
    <x v="391"/>
    <x v="49"/>
  </r>
  <r>
    <x v="6"/>
    <x v="391"/>
    <x v="18"/>
  </r>
  <r>
    <x v="7"/>
    <x v="391"/>
    <x v="71"/>
  </r>
  <r>
    <x v="10"/>
    <x v="392"/>
    <x v="10"/>
  </r>
  <r>
    <x v="1"/>
    <x v="392"/>
    <x v="4"/>
  </r>
  <r>
    <x v="2"/>
    <x v="392"/>
    <x v="8"/>
  </r>
  <r>
    <x v="3"/>
    <x v="392"/>
    <x v="51"/>
  </r>
  <r>
    <x v="9"/>
    <x v="392"/>
    <x v="6"/>
  </r>
  <r>
    <x v="0"/>
    <x v="392"/>
    <x v="78"/>
  </r>
  <r>
    <x v="8"/>
    <x v="392"/>
    <x v="12"/>
  </r>
  <r>
    <x v="4"/>
    <x v="392"/>
    <x v="65"/>
  </r>
  <r>
    <x v="5"/>
    <x v="392"/>
    <x v="52"/>
  </r>
  <r>
    <x v="6"/>
    <x v="392"/>
    <x v="75"/>
  </r>
  <r>
    <x v="7"/>
    <x v="392"/>
    <x v="12"/>
  </r>
  <r>
    <x v="3"/>
    <x v="393"/>
    <x v="0"/>
  </r>
  <r>
    <x v="10"/>
    <x v="394"/>
    <x v="0"/>
  </r>
  <r>
    <x v="9"/>
    <x v="395"/>
    <x v="0"/>
  </r>
  <r>
    <x v="1"/>
    <x v="396"/>
    <x v="0"/>
  </r>
  <r>
    <x v="3"/>
    <x v="396"/>
    <x v="3"/>
  </r>
  <r>
    <x v="2"/>
    <x v="397"/>
    <x v="0"/>
  </r>
  <r>
    <x v="3"/>
    <x v="398"/>
    <x v="0"/>
  </r>
  <r>
    <x v="8"/>
    <x v="398"/>
    <x v="1"/>
  </r>
  <r>
    <x v="5"/>
    <x v="398"/>
    <x v="0"/>
  </r>
  <r>
    <x v="6"/>
    <x v="398"/>
    <x v="1"/>
  </r>
  <r>
    <x v="7"/>
    <x v="398"/>
    <x v="0"/>
  </r>
  <r>
    <x v="10"/>
    <x v="399"/>
    <x v="2"/>
  </r>
  <r>
    <x v="1"/>
    <x v="399"/>
    <x v="10"/>
  </r>
  <r>
    <x v="2"/>
    <x v="399"/>
    <x v="1"/>
  </r>
  <r>
    <x v="3"/>
    <x v="399"/>
    <x v="5"/>
  </r>
  <r>
    <x v="9"/>
    <x v="399"/>
    <x v="2"/>
  </r>
  <r>
    <x v="8"/>
    <x v="399"/>
    <x v="18"/>
  </r>
  <r>
    <x v="5"/>
    <x v="399"/>
    <x v="7"/>
  </r>
  <r>
    <x v="7"/>
    <x v="399"/>
    <x v="1"/>
  </r>
  <r>
    <x v="10"/>
    <x v="400"/>
    <x v="0"/>
  </r>
  <r>
    <x v="1"/>
    <x v="400"/>
    <x v="0"/>
  </r>
  <r>
    <x v="2"/>
    <x v="400"/>
    <x v="6"/>
  </r>
  <r>
    <x v="3"/>
    <x v="400"/>
    <x v="0"/>
  </r>
  <r>
    <x v="9"/>
    <x v="400"/>
    <x v="0"/>
  </r>
  <r>
    <x v="8"/>
    <x v="400"/>
    <x v="4"/>
  </r>
  <r>
    <x v="4"/>
    <x v="400"/>
    <x v="1"/>
  </r>
  <r>
    <x v="5"/>
    <x v="400"/>
    <x v="4"/>
  </r>
  <r>
    <x v="6"/>
    <x v="400"/>
    <x v="2"/>
  </r>
  <r>
    <x v="7"/>
    <x v="400"/>
    <x v="1"/>
  </r>
  <r>
    <x v="3"/>
    <x v="401"/>
    <x v="0"/>
  </r>
  <r>
    <x v="10"/>
    <x v="402"/>
    <x v="111"/>
  </r>
  <r>
    <x v="1"/>
    <x v="402"/>
    <x v="112"/>
  </r>
  <r>
    <x v="2"/>
    <x v="402"/>
    <x v="105"/>
  </r>
  <r>
    <x v="3"/>
    <x v="402"/>
    <x v="44"/>
  </r>
  <r>
    <x v="9"/>
    <x v="402"/>
    <x v="113"/>
  </r>
  <r>
    <x v="0"/>
    <x v="402"/>
    <x v="114"/>
  </r>
  <r>
    <x v="8"/>
    <x v="402"/>
    <x v="115"/>
  </r>
  <r>
    <x v="4"/>
    <x v="402"/>
    <x v="40"/>
  </r>
  <r>
    <x v="5"/>
    <x v="402"/>
    <x v="64"/>
  </r>
  <r>
    <x v="6"/>
    <x v="402"/>
    <x v="116"/>
  </r>
  <r>
    <x v="7"/>
    <x v="402"/>
    <x v="30"/>
  </r>
  <r>
    <x v="3"/>
    <x v="403"/>
    <x v="1"/>
  </r>
  <r>
    <x v="0"/>
    <x v="403"/>
    <x v="0"/>
  </r>
  <r>
    <x v="8"/>
    <x v="403"/>
    <x v="3"/>
  </r>
  <r>
    <x v="5"/>
    <x v="403"/>
    <x v="0"/>
  </r>
  <r>
    <x v="7"/>
    <x v="403"/>
    <x v="0"/>
  </r>
  <r>
    <x v="10"/>
    <x v="404"/>
    <x v="0"/>
  </r>
  <r>
    <x v="1"/>
    <x v="404"/>
    <x v="0"/>
  </r>
  <r>
    <x v="2"/>
    <x v="404"/>
    <x v="1"/>
  </r>
  <r>
    <x v="3"/>
    <x v="404"/>
    <x v="0"/>
  </r>
  <r>
    <x v="5"/>
    <x v="404"/>
    <x v="3"/>
  </r>
  <r>
    <x v="6"/>
    <x v="404"/>
    <x v="4"/>
  </r>
  <r>
    <x v="7"/>
    <x v="404"/>
    <x v="1"/>
  </r>
  <r>
    <x v="8"/>
    <x v="405"/>
    <x v="1"/>
  </r>
  <r>
    <x v="5"/>
    <x v="405"/>
    <x v="1"/>
  </r>
  <r>
    <x v="6"/>
    <x v="405"/>
    <x v="0"/>
  </r>
  <r>
    <x v="7"/>
    <x v="405"/>
    <x v="0"/>
  </r>
  <r>
    <x v="1"/>
    <x v="406"/>
    <x v="0"/>
  </r>
  <r>
    <x v="8"/>
    <x v="406"/>
    <x v="0"/>
  </r>
  <r>
    <x v="8"/>
    <x v="406"/>
    <x v="0"/>
  </r>
  <r>
    <x v="5"/>
    <x v="406"/>
    <x v="0"/>
  </r>
  <r>
    <x v="7"/>
    <x v="406"/>
    <x v="0"/>
  </r>
  <r>
    <x v="0"/>
    <x v="407"/>
    <x v="0"/>
  </r>
  <r>
    <x v="6"/>
    <x v="408"/>
    <x v="0"/>
  </r>
  <r>
    <x v="8"/>
    <x v="409"/>
    <x v="0"/>
  </r>
  <r>
    <x v="10"/>
    <x v="410"/>
    <x v="0"/>
  </r>
  <r>
    <x v="1"/>
    <x v="410"/>
    <x v="0"/>
  </r>
  <r>
    <x v="2"/>
    <x v="410"/>
    <x v="1"/>
  </r>
  <r>
    <x v="3"/>
    <x v="410"/>
    <x v="0"/>
  </r>
  <r>
    <x v="0"/>
    <x v="410"/>
    <x v="0"/>
  </r>
  <r>
    <x v="4"/>
    <x v="410"/>
    <x v="2"/>
  </r>
  <r>
    <x v="5"/>
    <x v="410"/>
    <x v="0"/>
  </r>
  <r>
    <x v="6"/>
    <x v="410"/>
    <x v="1"/>
  </r>
  <r>
    <x v="7"/>
    <x v="410"/>
    <x v="1"/>
  </r>
  <r>
    <x v="2"/>
    <x v="411"/>
    <x v="0"/>
  </r>
  <r>
    <x v="3"/>
    <x v="411"/>
    <x v="0"/>
  </r>
  <r>
    <x v="8"/>
    <x v="411"/>
    <x v="1"/>
  </r>
  <r>
    <x v="4"/>
    <x v="411"/>
    <x v="0"/>
  </r>
  <r>
    <x v="10"/>
    <x v="412"/>
    <x v="0"/>
  </r>
  <r>
    <x v="1"/>
    <x v="412"/>
    <x v="0"/>
  </r>
  <r>
    <x v="0"/>
    <x v="412"/>
    <x v="1"/>
  </r>
  <r>
    <x v="8"/>
    <x v="412"/>
    <x v="0"/>
  </r>
  <r>
    <x v="5"/>
    <x v="412"/>
    <x v="1"/>
  </r>
  <r>
    <x v="1"/>
    <x v="413"/>
    <x v="0"/>
  </r>
  <r>
    <x v="4"/>
    <x v="413"/>
    <x v="1"/>
  </r>
  <r>
    <x v="6"/>
    <x v="413"/>
    <x v="1"/>
  </r>
  <r>
    <x v="10"/>
    <x v="414"/>
    <x v="4"/>
  </r>
  <r>
    <x v="9"/>
    <x v="414"/>
    <x v="0"/>
  </r>
  <r>
    <x v="0"/>
    <x v="414"/>
    <x v="0"/>
  </r>
  <r>
    <x v="2"/>
    <x v="415"/>
    <x v="0"/>
  </r>
  <r>
    <x v="8"/>
    <x v="415"/>
    <x v="0"/>
  </r>
  <r>
    <x v="5"/>
    <x v="416"/>
    <x v="0"/>
  </r>
  <r>
    <x v="3"/>
    <x v="417"/>
    <x v="0"/>
  </r>
  <r>
    <x v="9"/>
    <x v="417"/>
    <x v="0"/>
  </r>
  <r>
    <x v="5"/>
    <x v="418"/>
    <x v="0"/>
  </r>
  <r>
    <x v="2"/>
    <x v="419"/>
    <x v="0"/>
  </r>
  <r>
    <x v="3"/>
    <x v="420"/>
    <x v="0"/>
  </r>
  <r>
    <x v="9"/>
    <x v="420"/>
    <x v="0"/>
  </r>
  <r>
    <x v="3"/>
    <x v="421"/>
    <x v="0"/>
  </r>
  <r>
    <x v="10"/>
    <x v="422"/>
    <x v="0"/>
  </r>
  <r>
    <x v="8"/>
    <x v="422"/>
    <x v="0"/>
  </r>
  <r>
    <x v="10"/>
    <x v="423"/>
    <x v="1"/>
  </r>
  <r>
    <x v="2"/>
    <x v="423"/>
    <x v="1"/>
  </r>
  <r>
    <x v="3"/>
    <x v="423"/>
    <x v="2"/>
  </r>
  <r>
    <x v="9"/>
    <x v="423"/>
    <x v="2"/>
  </r>
  <r>
    <x v="5"/>
    <x v="424"/>
    <x v="0"/>
  </r>
  <r>
    <x v="6"/>
    <x v="424"/>
    <x v="6"/>
  </r>
  <r>
    <x v="7"/>
    <x v="424"/>
    <x v="6"/>
  </r>
  <r>
    <x v="6"/>
    <x v="425"/>
    <x v="4"/>
  </r>
  <r>
    <x v="7"/>
    <x v="425"/>
    <x v="0"/>
  </r>
  <r>
    <x v="0"/>
    <x v="426"/>
    <x v="0"/>
  </r>
  <r>
    <x v="8"/>
    <x v="426"/>
    <x v="0"/>
  </r>
  <r>
    <x v="4"/>
    <x v="426"/>
    <x v="1"/>
  </r>
  <r>
    <x v="5"/>
    <x v="426"/>
    <x v="1"/>
  </r>
  <r>
    <x v="6"/>
    <x v="426"/>
    <x v="1"/>
  </r>
  <r>
    <x v="7"/>
    <x v="426"/>
    <x v="0"/>
  </r>
  <r>
    <x v="5"/>
    <x v="427"/>
    <x v="1"/>
  </r>
  <r>
    <x v="7"/>
    <x v="427"/>
    <x v="4"/>
  </r>
  <r>
    <x v="1"/>
    <x v="428"/>
    <x v="1"/>
  </r>
  <r>
    <x v="0"/>
    <x v="428"/>
    <x v="0"/>
  </r>
  <r>
    <x v="8"/>
    <x v="428"/>
    <x v="0"/>
  </r>
  <r>
    <x v="4"/>
    <x v="428"/>
    <x v="1"/>
  </r>
  <r>
    <x v="7"/>
    <x v="428"/>
    <x v="0"/>
  </r>
  <r>
    <x v="4"/>
    <x v="429"/>
    <x v="0"/>
  </r>
  <r>
    <x v="10"/>
    <x v="430"/>
    <x v="1"/>
  </r>
  <r>
    <x v="7"/>
    <x v="430"/>
    <x v="0"/>
  </r>
  <r>
    <x v="10"/>
    <x v="431"/>
    <x v="7"/>
  </r>
  <r>
    <x v="1"/>
    <x v="431"/>
    <x v="2"/>
  </r>
  <r>
    <x v="2"/>
    <x v="431"/>
    <x v="4"/>
  </r>
  <r>
    <x v="9"/>
    <x v="431"/>
    <x v="1"/>
  </r>
  <r>
    <x v="0"/>
    <x v="431"/>
    <x v="2"/>
  </r>
  <r>
    <x v="6"/>
    <x v="431"/>
    <x v="77"/>
  </r>
  <r>
    <x v="7"/>
    <x v="431"/>
    <x v="6"/>
  </r>
  <r>
    <x v="4"/>
    <x v="432"/>
    <x v="0"/>
  </r>
  <r>
    <x v="5"/>
    <x v="432"/>
    <x v="0"/>
  </r>
  <r>
    <x v="0"/>
    <x v="433"/>
    <x v="0"/>
  </r>
  <r>
    <x v="9"/>
    <x v="434"/>
    <x v="0"/>
  </r>
  <r>
    <x v="5"/>
    <x v="434"/>
    <x v="0"/>
  </r>
  <r>
    <x v="10"/>
    <x v="435"/>
    <x v="95"/>
  </r>
  <r>
    <x v="1"/>
    <x v="435"/>
    <x v="65"/>
  </r>
  <r>
    <x v="2"/>
    <x v="435"/>
    <x v="0"/>
  </r>
  <r>
    <x v="10"/>
    <x v="436"/>
    <x v="0"/>
  </r>
  <r>
    <x v="2"/>
    <x v="436"/>
    <x v="2"/>
  </r>
  <r>
    <x v="3"/>
    <x v="436"/>
    <x v="7"/>
  </r>
  <r>
    <x v="9"/>
    <x v="436"/>
    <x v="1"/>
  </r>
  <r>
    <x v="6"/>
    <x v="436"/>
    <x v="1"/>
  </r>
  <r>
    <x v="7"/>
    <x v="436"/>
    <x v="0"/>
  </r>
  <r>
    <x v="1"/>
    <x v="437"/>
    <x v="1"/>
  </r>
  <r>
    <x v="2"/>
    <x v="437"/>
    <x v="0"/>
  </r>
  <r>
    <x v="0"/>
    <x v="437"/>
    <x v="0"/>
  </r>
  <r>
    <x v="5"/>
    <x v="437"/>
    <x v="1"/>
  </r>
  <r>
    <x v="6"/>
    <x v="437"/>
    <x v="0"/>
  </r>
  <r>
    <x v="6"/>
    <x v="438"/>
    <x v="0"/>
  </r>
  <r>
    <x v="10"/>
    <x v="439"/>
    <x v="9"/>
  </r>
  <r>
    <x v="1"/>
    <x v="439"/>
    <x v="15"/>
  </r>
  <r>
    <x v="2"/>
    <x v="439"/>
    <x v="18"/>
  </r>
  <r>
    <x v="3"/>
    <x v="439"/>
    <x v="49"/>
  </r>
  <r>
    <x v="9"/>
    <x v="439"/>
    <x v="48"/>
  </r>
  <r>
    <x v="0"/>
    <x v="439"/>
    <x v="7"/>
  </r>
  <r>
    <x v="8"/>
    <x v="439"/>
    <x v="5"/>
  </r>
  <r>
    <x v="4"/>
    <x v="439"/>
    <x v="71"/>
  </r>
  <r>
    <x v="5"/>
    <x v="439"/>
    <x v="13"/>
  </r>
  <r>
    <x v="6"/>
    <x v="439"/>
    <x v="51"/>
  </r>
  <r>
    <x v="7"/>
    <x v="439"/>
    <x v="1"/>
  </r>
  <r>
    <x v="10"/>
    <x v="440"/>
    <x v="16"/>
  </r>
  <r>
    <x v="1"/>
    <x v="440"/>
    <x v="69"/>
  </r>
  <r>
    <x v="2"/>
    <x v="440"/>
    <x v="9"/>
  </r>
  <r>
    <x v="3"/>
    <x v="440"/>
    <x v="105"/>
  </r>
  <r>
    <x v="0"/>
    <x v="440"/>
    <x v="9"/>
  </r>
  <r>
    <x v="8"/>
    <x v="440"/>
    <x v="64"/>
  </r>
  <r>
    <x v="4"/>
    <x v="440"/>
    <x v="0"/>
  </r>
  <r>
    <x v="5"/>
    <x v="440"/>
    <x v="5"/>
  </r>
  <r>
    <x v="6"/>
    <x v="440"/>
    <x v="97"/>
  </r>
  <r>
    <x v="7"/>
    <x v="440"/>
    <x v="1"/>
  </r>
  <r>
    <x v="1"/>
    <x v="441"/>
    <x v="1"/>
  </r>
  <r>
    <x v="9"/>
    <x v="441"/>
    <x v="0"/>
  </r>
  <r>
    <x v="0"/>
    <x v="441"/>
    <x v="0"/>
  </r>
  <r>
    <x v="4"/>
    <x v="441"/>
    <x v="1"/>
  </r>
  <r>
    <x v="1"/>
    <x v="442"/>
    <x v="3"/>
  </r>
  <r>
    <x v="5"/>
    <x v="442"/>
    <x v="1"/>
  </r>
  <r>
    <x v="7"/>
    <x v="442"/>
    <x v="4"/>
  </r>
  <r>
    <x v="2"/>
    <x v="443"/>
    <x v="0"/>
  </r>
  <r>
    <x v="2"/>
    <x v="444"/>
    <x v="0"/>
  </r>
  <r>
    <x v="8"/>
    <x v="445"/>
    <x v="0"/>
  </r>
  <r>
    <x v="5"/>
    <x v="445"/>
    <x v="0"/>
  </r>
  <r>
    <x v="6"/>
    <x v="445"/>
    <x v="4"/>
  </r>
  <r>
    <x v="10"/>
    <x v="446"/>
    <x v="49"/>
  </r>
  <r>
    <x v="1"/>
    <x v="446"/>
    <x v="49"/>
  </r>
  <r>
    <x v="2"/>
    <x v="446"/>
    <x v="2"/>
  </r>
  <r>
    <x v="3"/>
    <x v="446"/>
    <x v="1"/>
  </r>
  <r>
    <x v="9"/>
    <x v="446"/>
    <x v="6"/>
  </r>
  <r>
    <x v="0"/>
    <x v="446"/>
    <x v="4"/>
  </r>
  <r>
    <x v="8"/>
    <x v="446"/>
    <x v="2"/>
  </r>
  <r>
    <x v="4"/>
    <x v="446"/>
    <x v="6"/>
  </r>
  <r>
    <x v="5"/>
    <x v="446"/>
    <x v="1"/>
  </r>
  <r>
    <x v="6"/>
    <x v="446"/>
    <x v="1"/>
  </r>
  <r>
    <x v="7"/>
    <x v="446"/>
    <x v="1"/>
  </r>
  <r>
    <x v="6"/>
    <x v="447"/>
    <x v="3"/>
  </r>
  <r>
    <x v="10"/>
    <x v="448"/>
    <x v="4"/>
  </r>
  <r>
    <x v="1"/>
    <x v="448"/>
    <x v="5"/>
  </r>
  <r>
    <x v="2"/>
    <x v="448"/>
    <x v="4"/>
  </r>
  <r>
    <x v="3"/>
    <x v="448"/>
    <x v="0"/>
  </r>
  <r>
    <x v="9"/>
    <x v="448"/>
    <x v="1"/>
  </r>
  <r>
    <x v="0"/>
    <x v="448"/>
    <x v="1"/>
  </r>
  <r>
    <x v="8"/>
    <x v="448"/>
    <x v="0"/>
  </r>
  <r>
    <x v="4"/>
    <x v="448"/>
    <x v="10"/>
  </r>
  <r>
    <x v="5"/>
    <x v="448"/>
    <x v="0"/>
  </r>
  <r>
    <x v="6"/>
    <x v="448"/>
    <x v="5"/>
  </r>
  <r>
    <x v="7"/>
    <x v="448"/>
    <x v="1"/>
  </r>
  <r>
    <x v="1"/>
    <x v="449"/>
    <x v="1"/>
  </r>
  <r>
    <x v="2"/>
    <x v="449"/>
    <x v="0"/>
  </r>
  <r>
    <x v="9"/>
    <x v="450"/>
    <x v="0"/>
  </r>
  <r>
    <x v="10"/>
    <x v="451"/>
    <x v="6"/>
  </r>
  <r>
    <x v="1"/>
    <x v="451"/>
    <x v="1"/>
  </r>
  <r>
    <x v="2"/>
    <x v="451"/>
    <x v="1"/>
  </r>
  <r>
    <x v="3"/>
    <x v="451"/>
    <x v="0"/>
  </r>
  <r>
    <x v="9"/>
    <x v="451"/>
    <x v="6"/>
  </r>
  <r>
    <x v="0"/>
    <x v="451"/>
    <x v="1"/>
  </r>
  <r>
    <x v="8"/>
    <x v="451"/>
    <x v="1"/>
  </r>
  <r>
    <x v="4"/>
    <x v="451"/>
    <x v="0"/>
  </r>
  <r>
    <x v="5"/>
    <x v="451"/>
    <x v="2"/>
  </r>
  <r>
    <x v="6"/>
    <x v="451"/>
    <x v="2"/>
  </r>
  <r>
    <x v="7"/>
    <x v="451"/>
    <x v="4"/>
  </r>
  <r>
    <x v="10"/>
    <x v="452"/>
    <x v="40"/>
  </r>
  <r>
    <x v="1"/>
    <x v="452"/>
    <x v="2"/>
  </r>
  <r>
    <x v="2"/>
    <x v="452"/>
    <x v="71"/>
  </r>
  <r>
    <x v="3"/>
    <x v="452"/>
    <x v="47"/>
  </r>
  <r>
    <x v="9"/>
    <x v="452"/>
    <x v="97"/>
  </r>
  <r>
    <x v="0"/>
    <x v="452"/>
    <x v="94"/>
  </r>
  <r>
    <x v="8"/>
    <x v="452"/>
    <x v="6"/>
  </r>
  <r>
    <x v="4"/>
    <x v="452"/>
    <x v="22"/>
  </r>
  <r>
    <x v="5"/>
    <x v="452"/>
    <x v="51"/>
  </r>
  <r>
    <x v="6"/>
    <x v="452"/>
    <x v="75"/>
  </r>
  <r>
    <x v="10"/>
    <x v="453"/>
    <x v="49"/>
  </r>
  <r>
    <x v="2"/>
    <x v="453"/>
    <x v="6"/>
  </r>
  <r>
    <x v="3"/>
    <x v="453"/>
    <x v="9"/>
  </r>
  <r>
    <x v="9"/>
    <x v="453"/>
    <x v="6"/>
  </r>
  <r>
    <x v="0"/>
    <x v="453"/>
    <x v="4"/>
  </r>
  <r>
    <x v="8"/>
    <x v="453"/>
    <x v="9"/>
  </r>
  <r>
    <x v="4"/>
    <x v="453"/>
    <x v="2"/>
  </r>
  <r>
    <x v="4"/>
    <x v="453"/>
    <x v="1"/>
  </r>
  <r>
    <x v="6"/>
    <x v="453"/>
    <x v="6"/>
  </r>
  <r>
    <x v="6"/>
    <x v="453"/>
    <x v="0"/>
  </r>
  <r>
    <x v="7"/>
    <x v="453"/>
    <x v="8"/>
  </r>
  <r>
    <x v="9"/>
    <x v="454"/>
    <x v="0"/>
  </r>
  <r>
    <x v="7"/>
    <x v="454"/>
    <x v="0"/>
  </r>
  <r>
    <x v="1"/>
    <x v="455"/>
    <x v="0"/>
  </r>
  <r>
    <x v="9"/>
    <x v="455"/>
    <x v="0"/>
  </r>
  <r>
    <x v="4"/>
    <x v="455"/>
    <x v="0"/>
  </r>
  <r>
    <x v="5"/>
    <x v="455"/>
    <x v="1"/>
  </r>
  <r>
    <x v="6"/>
    <x v="455"/>
    <x v="1"/>
  </r>
  <r>
    <x v="7"/>
    <x v="455"/>
    <x v="0"/>
  </r>
  <r>
    <x v="6"/>
    <x v="456"/>
    <x v="0"/>
  </r>
  <r>
    <x v="10"/>
    <x v="457"/>
    <x v="12"/>
  </r>
  <r>
    <x v="1"/>
    <x v="457"/>
    <x v="48"/>
  </r>
  <r>
    <x v="2"/>
    <x v="457"/>
    <x v="4"/>
  </r>
  <r>
    <x v="3"/>
    <x v="457"/>
    <x v="2"/>
  </r>
  <r>
    <x v="0"/>
    <x v="457"/>
    <x v="10"/>
  </r>
  <r>
    <x v="5"/>
    <x v="457"/>
    <x v="0"/>
  </r>
  <r>
    <x v="6"/>
    <x v="457"/>
    <x v="1"/>
  </r>
  <r>
    <x v="7"/>
    <x v="457"/>
    <x v="2"/>
  </r>
  <r>
    <x v="10"/>
    <x v="458"/>
    <x v="68"/>
  </r>
  <r>
    <x v="1"/>
    <x v="458"/>
    <x v="18"/>
  </r>
  <r>
    <x v="2"/>
    <x v="458"/>
    <x v="69"/>
  </r>
  <r>
    <x v="3"/>
    <x v="458"/>
    <x v="4"/>
  </r>
  <r>
    <x v="9"/>
    <x v="458"/>
    <x v="2"/>
  </r>
  <r>
    <x v="0"/>
    <x v="458"/>
    <x v="48"/>
  </r>
  <r>
    <x v="4"/>
    <x v="458"/>
    <x v="2"/>
  </r>
  <r>
    <x v="5"/>
    <x v="458"/>
    <x v="6"/>
  </r>
  <r>
    <x v="6"/>
    <x v="458"/>
    <x v="6"/>
  </r>
  <r>
    <x v="7"/>
    <x v="458"/>
    <x v="7"/>
  </r>
  <r>
    <x v="10"/>
    <x v="459"/>
    <x v="5"/>
  </r>
  <r>
    <x v="1"/>
    <x v="459"/>
    <x v="7"/>
  </r>
  <r>
    <x v="2"/>
    <x v="459"/>
    <x v="47"/>
  </r>
  <r>
    <x v="3"/>
    <x v="459"/>
    <x v="4"/>
  </r>
  <r>
    <x v="0"/>
    <x v="459"/>
    <x v="4"/>
  </r>
  <r>
    <x v="5"/>
    <x v="459"/>
    <x v="7"/>
  </r>
  <r>
    <x v="6"/>
    <x v="459"/>
    <x v="49"/>
  </r>
  <r>
    <x v="7"/>
    <x v="459"/>
    <x v="6"/>
  </r>
  <r>
    <x v="10"/>
    <x v="460"/>
    <x v="15"/>
  </r>
  <r>
    <x v="1"/>
    <x v="460"/>
    <x v="4"/>
  </r>
  <r>
    <x v="2"/>
    <x v="460"/>
    <x v="15"/>
  </r>
  <r>
    <x v="3"/>
    <x v="460"/>
    <x v="77"/>
  </r>
  <r>
    <x v="9"/>
    <x v="460"/>
    <x v="49"/>
  </r>
  <r>
    <x v="0"/>
    <x v="460"/>
    <x v="15"/>
  </r>
  <r>
    <x v="8"/>
    <x v="460"/>
    <x v="5"/>
  </r>
  <r>
    <x v="4"/>
    <x v="460"/>
    <x v="49"/>
  </r>
  <r>
    <x v="5"/>
    <x v="460"/>
    <x v="15"/>
  </r>
  <r>
    <x v="6"/>
    <x v="460"/>
    <x v="117"/>
  </r>
  <r>
    <x v="7"/>
    <x v="460"/>
    <x v="64"/>
  </r>
  <r>
    <x v="8"/>
    <x v="461"/>
    <x v="0"/>
  </r>
  <r>
    <x v="6"/>
    <x v="461"/>
    <x v="6"/>
  </r>
  <r>
    <x v="7"/>
    <x v="461"/>
    <x v="13"/>
  </r>
  <r>
    <x v="7"/>
    <x v="462"/>
    <x v="3"/>
  </r>
  <r>
    <x v="3"/>
    <x v="463"/>
    <x v="0"/>
  </r>
  <r>
    <x v="9"/>
    <x v="463"/>
    <x v="1"/>
  </r>
  <r>
    <x v="0"/>
    <x v="463"/>
    <x v="4"/>
  </r>
  <r>
    <x v="8"/>
    <x v="463"/>
    <x v="0"/>
  </r>
  <r>
    <x v="4"/>
    <x v="463"/>
    <x v="1"/>
  </r>
  <r>
    <x v="1"/>
    <x v="464"/>
    <x v="4"/>
  </r>
  <r>
    <x v="6"/>
    <x v="465"/>
    <x v="0"/>
  </r>
  <r>
    <x v="7"/>
    <x v="465"/>
    <x v="1"/>
  </r>
  <r>
    <x v="10"/>
    <x v="466"/>
    <x v="69"/>
  </r>
  <r>
    <x v="1"/>
    <x v="466"/>
    <x v="7"/>
  </r>
  <r>
    <x v="2"/>
    <x v="466"/>
    <x v="49"/>
  </r>
  <r>
    <x v="3"/>
    <x v="466"/>
    <x v="64"/>
  </r>
  <r>
    <x v="9"/>
    <x v="466"/>
    <x v="2"/>
  </r>
  <r>
    <x v="0"/>
    <x v="466"/>
    <x v="1"/>
  </r>
  <r>
    <x v="8"/>
    <x v="466"/>
    <x v="7"/>
  </r>
  <r>
    <x v="4"/>
    <x v="466"/>
    <x v="2"/>
  </r>
  <r>
    <x v="5"/>
    <x v="466"/>
    <x v="0"/>
  </r>
  <r>
    <x v="6"/>
    <x v="466"/>
    <x v="49"/>
  </r>
  <r>
    <x v="7"/>
    <x v="466"/>
    <x v="10"/>
  </r>
  <r>
    <x v="10"/>
    <x v="467"/>
    <x v="7"/>
  </r>
  <r>
    <x v="1"/>
    <x v="467"/>
    <x v="10"/>
  </r>
  <r>
    <x v="2"/>
    <x v="467"/>
    <x v="49"/>
  </r>
  <r>
    <x v="3"/>
    <x v="467"/>
    <x v="8"/>
  </r>
  <r>
    <x v="9"/>
    <x v="467"/>
    <x v="49"/>
  </r>
  <r>
    <x v="0"/>
    <x v="467"/>
    <x v="9"/>
  </r>
  <r>
    <x v="8"/>
    <x v="467"/>
    <x v="18"/>
  </r>
  <r>
    <x v="4"/>
    <x v="467"/>
    <x v="49"/>
  </r>
  <r>
    <x v="6"/>
    <x v="467"/>
    <x v="48"/>
  </r>
  <r>
    <x v="7"/>
    <x v="467"/>
    <x v="1"/>
  </r>
  <r>
    <x v="3"/>
    <x v="468"/>
    <x v="0"/>
  </r>
  <r>
    <x v="5"/>
    <x v="469"/>
    <x v="0"/>
  </r>
  <r>
    <x v="10"/>
    <x v="470"/>
    <x v="1"/>
  </r>
  <r>
    <x v="1"/>
    <x v="470"/>
    <x v="3"/>
  </r>
  <r>
    <x v="2"/>
    <x v="470"/>
    <x v="0"/>
  </r>
  <r>
    <x v="9"/>
    <x v="470"/>
    <x v="1"/>
  </r>
  <r>
    <x v="5"/>
    <x v="470"/>
    <x v="0"/>
  </r>
  <r>
    <x v="6"/>
    <x v="470"/>
    <x v="1"/>
  </r>
  <r>
    <x v="10"/>
    <x v="471"/>
    <x v="49"/>
  </r>
  <r>
    <x v="1"/>
    <x v="471"/>
    <x v="105"/>
  </r>
  <r>
    <x v="2"/>
    <x v="471"/>
    <x v="47"/>
  </r>
  <r>
    <x v="3"/>
    <x v="471"/>
    <x v="0"/>
  </r>
  <r>
    <x v="9"/>
    <x v="471"/>
    <x v="48"/>
  </r>
  <r>
    <x v="0"/>
    <x v="471"/>
    <x v="18"/>
  </r>
  <r>
    <x v="8"/>
    <x v="471"/>
    <x v="4"/>
  </r>
  <r>
    <x v="5"/>
    <x v="471"/>
    <x v="4"/>
  </r>
  <r>
    <x v="6"/>
    <x v="471"/>
    <x v="0"/>
  </r>
  <r>
    <x v="7"/>
    <x v="471"/>
    <x v="4"/>
  </r>
  <r>
    <x v="1"/>
    <x v="472"/>
    <x v="1"/>
  </r>
  <r>
    <x v="2"/>
    <x v="472"/>
    <x v="1"/>
  </r>
  <r>
    <x v="10"/>
    <x v="473"/>
    <x v="6"/>
  </r>
  <r>
    <x v="1"/>
    <x v="473"/>
    <x v="9"/>
  </r>
  <r>
    <x v="2"/>
    <x v="473"/>
    <x v="15"/>
  </r>
  <r>
    <x v="3"/>
    <x v="473"/>
    <x v="1"/>
  </r>
  <r>
    <x v="9"/>
    <x v="473"/>
    <x v="6"/>
  </r>
  <r>
    <x v="0"/>
    <x v="473"/>
    <x v="13"/>
  </r>
  <r>
    <x v="8"/>
    <x v="473"/>
    <x v="5"/>
  </r>
  <r>
    <x v="4"/>
    <x v="473"/>
    <x v="0"/>
  </r>
  <r>
    <x v="5"/>
    <x v="473"/>
    <x v="49"/>
  </r>
  <r>
    <x v="6"/>
    <x v="473"/>
    <x v="12"/>
  </r>
  <r>
    <x v="7"/>
    <x v="473"/>
    <x v="11"/>
  </r>
  <r>
    <x v="8"/>
    <x v="474"/>
    <x v="1"/>
  </r>
  <r>
    <x v="10"/>
    <x v="475"/>
    <x v="118"/>
  </r>
  <r>
    <x v="1"/>
    <x v="475"/>
    <x v="35"/>
  </r>
  <r>
    <x v="2"/>
    <x v="475"/>
    <x v="43"/>
  </r>
  <r>
    <x v="3"/>
    <x v="475"/>
    <x v="42"/>
  </r>
  <r>
    <x v="3"/>
    <x v="475"/>
    <x v="4"/>
  </r>
  <r>
    <x v="9"/>
    <x v="475"/>
    <x v="119"/>
  </r>
  <r>
    <x v="0"/>
    <x v="475"/>
    <x v="120"/>
  </r>
  <r>
    <x v="8"/>
    <x v="475"/>
    <x v="63"/>
  </r>
  <r>
    <x v="4"/>
    <x v="475"/>
    <x v="63"/>
  </r>
  <r>
    <x v="5"/>
    <x v="475"/>
    <x v="56"/>
  </r>
  <r>
    <x v="6"/>
    <x v="475"/>
    <x v="27"/>
  </r>
  <r>
    <x v="7"/>
    <x v="475"/>
    <x v="33"/>
  </r>
  <r>
    <x v="1"/>
    <x v="476"/>
    <x v="0"/>
  </r>
  <r>
    <x v="9"/>
    <x v="476"/>
    <x v="1"/>
  </r>
  <r>
    <x v="4"/>
    <x v="476"/>
    <x v="0"/>
  </r>
  <r>
    <x v="5"/>
    <x v="476"/>
    <x v="0"/>
  </r>
  <r>
    <x v="7"/>
    <x v="476"/>
    <x v="0"/>
  </r>
  <r>
    <x v="1"/>
    <x v="477"/>
    <x v="63"/>
  </r>
  <r>
    <x v="2"/>
    <x v="477"/>
    <x v="10"/>
  </r>
  <r>
    <x v="9"/>
    <x v="477"/>
    <x v="5"/>
  </r>
  <r>
    <x v="0"/>
    <x v="477"/>
    <x v="71"/>
  </r>
  <r>
    <x v="5"/>
    <x v="477"/>
    <x v="3"/>
  </r>
  <r>
    <x v="7"/>
    <x v="477"/>
    <x v="15"/>
  </r>
  <r>
    <x v="4"/>
    <x v="478"/>
    <x v="0"/>
  </r>
  <r>
    <x v="10"/>
    <x v="479"/>
    <x v="4"/>
  </r>
  <r>
    <x v="1"/>
    <x v="479"/>
    <x v="0"/>
  </r>
  <r>
    <x v="2"/>
    <x v="479"/>
    <x v="1"/>
  </r>
  <r>
    <x v="3"/>
    <x v="479"/>
    <x v="0"/>
  </r>
  <r>
    <x v="9"/>
    <x v="479"/>
    <x v="0"/>
  </r>
  <r>
    <x v="4"/>
    <x v="479"/>
    <x v="4"/>
  </r>
  <r>
    <x v="6"/>
    <x v="479"/>
    <x v="6"/>
  </r>
  <r>
    <x v="7"/>
    <x v="479"/>
    <x v="6"/>
  </r>
  <r>
    <x v="10"/>
    <x v="480"/>
    <x v="0"/>
  </r>
  <r>
    <x v="2"/>
    <x v="480"/>
    <x v="0"/>
  </r>
  <r>
    <x v="3"/>
    <x v="480"/>
    <x v="0"/>
  </r>
  <r>
    <x v="9"/>
    <x v="480"/>
    <x v="1"/>
  </r>
  <r>
    <x v="0"/>
    <x v="480"/>
    <x v="1"/>
  </r>
  <r>
    <x v="4"/>
    <x v="480"/>
    <x v="0"/>
  </r>
  <r>
    <x v="5"/>
    <x v="480"/>
    <x v="1"/>
  </r>
  <r>
    <x v="6"/>
    <x v="480"/>
    <x v="0"/>
  </r>
  <r>
    <x v="7"/>
    <x v="480"/>
    <x v="0"/>
  </r>
  <r>
    <x v="1"/>
    <x v="481"/>
    <x v="0"/>
  </r>
  <r>
    <x v="2"/>
    <x v="481"/>
    <x v="1"/>
  </r>
  <r>
    <x v="4"/>
    <x v="481"/>
    <x v="2"/>
  </r>
  <r>
    <x v="6"/>
    <x v="481"/>
    <x v="1"/>
  </r>
  <r>
    <x v="7"/>
    <x v="481"/>
    <x v="4"/>
  </r>
  <r>
    <x v="10"/>
    <x v="482"/>
    <x v="0"/>
  </r>
  <r>
    <x v="1"/>
    <x v="482"/>
    <x v="0"/>
  </r>
  <r>
    <x v="3"/>
    <x v="482"/>
    <x v="0"/>
  </r>
  <r>
    <x v="9"/>
    <x v="482"/>
    <x v="1"/>
  </r>
  <r>
    <x v="0"/>
    <x v="482"/>
    <x v="1"/>
  </r>
  <r>
    <x v="8"/>
    <x v="482"/>
    <x v="0"/>
  </r>
  <r>
    <x v="5"/>
    <x v="482"/>
    <x v="0"/>
  </r>
  <r>
    <x v="6"/>
    <x v="482"/>
    <x v="0"/>
  </r>
  <r>
    <x v="7"/>
    <x v="482"/>
    <x v="1"/>
  </r>
  <r>
    <x v="10"/>
    <x v="483"/>
    <x v="2"/>
  </r>
  <r>
    <x v="1"/>
    <x v="483"/>
    <x v="0"/>
  </r>
  <r>
    <x v="3"/>
    <x v="483"/>
    <x v="0"/>
  </r>
  <r>
    <x v="0"/>
    <x v="483"/>
    <x v="6"/>
  </r>
  <r>
    <x v="5"/>
    <x v="483"/>
    <x v="0"/>
  </r>
  <r>
    <x v="6"/>
    <x v="483"/>
    <x v="2"/>
  </r>
  <r>
    <x v="5"/>
    <x v="484"/>
    <x v="0"/>
  </r>
  <r>
    <x v="10"/>
    <x v="485"/>
    <x v="66"/>
  </r>
  <r>
    <x v="1"/>
    <x v="485"/>
    <x v="9"/>
  </r>
  <r>
    <x v="2"/>
    <x v="485"/>
    <x v="7"/>
  </r>
  <r>
    <x v="3"/>
    <x v="485"/>
    <x v="49"/>
  </r>
  <r>
    <x v="9"/>
    <x v="485"/>
    <x v="77"/>
  </r>
  <r>
    <x v="0"/>
    <x v="485"/>
    <x v="53"/>
  </r>
  <r>
    <x v="8"/>
    <x v="485"/>
    <x v="10"/>
  </r>
  <r>
    <x v="4"/>
    <x v="485"/>
    <x v="48"/>
  </r>
  <r>
    <x v="5"/>
    <x v="485"/>
    <x v="6"/>
  </r>
  <r>
    <x v="6"/>
    <x v="485"/>
    <x v="59"/>
  </r>
  <r>
    <x v="7"/>
    <x v="485"/>
    <x v="115"/>
  </r>
  <r>
    <x v="1"/>
    <x v="486"/>
    <x v="0"/>
  </r>
  <r>
    <x v="7"/>
    <x v="487"/>
    <x v="0"/>
  </r>
  <r>
    <x v="10"/>
    <x v="488"/>
    <x v="2"/>
  </r>
  <r>
    <x v="1"/>
    <x v="488"/>
    <x v="6"/>
  </r>
  <r>
    <x v="2"/>
    <x v="488"/>
    <x v="0"/>
  </r>
  <r>
    <x v="9"/>
    <x v="488"/>
    <x v="0"/>
  </r>
  <r>
    <x v="0"/>
    <x v="488"/>
    <x v="10"/>
  </r>
  <r>
    <x v="8"/>
    <x v="488"/>
    <x v="0"/>
  </r>
  <r>
    <x v="4"/>
    <x v="488"/>
    <x v="0"/>
  </r>
  <r>
    <x v="5"/>
    <x v="488"/>
    <x v="0"/>
  </r>
  <r>
    <x v="7"/>
    <x v="488"/>
    <x v="2"/>
  </r>
  <r>
    <x v="10"/>
    <x v="489"/>
    <x v="15"/>
  </r>
  <r>
    <x v="1"/>
    <x v="489"/>
    <x v="48"/>
  </r>
  <r>
    <x v="2"/>
    <x v="489"/>
    <x v="48"/>
  </r>
  <r>
    <x v="3"/>
    <x v="489"/>
    <x v="9"/>
  </r>
  <r>
    <x v="9"/>
    <x v="489"/>
    <x v="7"/>
  </r>
  <r>
    <x v="0"/>
    <x v="489"/>
    <x v="8"/>
  </r>
  <r>
    <x v="8"/>
    <x v="489"/>
    <x v="10"/>
  </r>
  <r>
    <x v="4"/>
    <x v="489"/>
    <x v="1"/>
  </r>
  <r>
    <x v="5"/>
    <x v="489"/>
    <x v="9"/>
  </r>
  <r>
    <x v="6"/>
    <x v="489"/>
    <x v="9"/>
  </r>
  <r>
    <x v="7"/>
    <x v="489"/>
    <x v="7"/>
  </r>
  <r>
    <x v="2"/>
    <x v="490"/>
    <x v="1"/>
  </r>
  <r>
    <x v="8"/>
    <x v="490"/>
    <x v="0"/>
  </r>
  <r>
    <x v="5"/>
    <x v="490"/>
    <x v="0"/>
  </r>
  <r>
    <x v="6"/>
    <x v="490"/>
    <x v="0"/>
  </r>
  <r>
    <x v="10"/>
    <x v="491"/>
    <x v="0"/>
  </r>
  <r>
    <x v="9"/>
    <x v="491"/>
    <x v="0"/>
  </r>
  <r>
    <x v="0"/>
    <x v="491"/>
    <x v="0"/>
  </r>
  <r>
    <x v="4"/>
    <x v="491"/>
    <x v="0"/>
  </r>
  <r>
    <x v="1"/>
    <x v="492"/>
    <x v="0"/>
  </r>
  <r>
    <x v="2"/>
    <x v="492"/>
    <x v="0"/>
  </r>
  <r>
    <x v="4"/>
    <x v="492"/>
    <x v="0"/>
  </r>
  <r>
    <x v="6"/>
    <x v="492"/>
    <x v="0"/>
  </r>
  <r>
    <x v="1"/>
    <x v="493"/>
    <x v="4"/>
  </r>
  <r>
    <x v="2"/>
    <x v="493"/>
    <x v="2"/>
  </r>
  <r>
    <x v="3"/>
    <x v="493"/>
    <x v="2"/>
  </r>
  <r>
    <x v="9"/>
    <x v="493"/>
    <x v="4"/>
  </r>
  <r>
    <x v="0"/>
    <x v="493"/>
    <x v="10"/>
  </r>
  <r>
    <x v="8"/>
    <x v="493"/>
    <x v="48"/>
  </r>
  <r>
    <x v="4"/>
    <x v="493"/>
    <x v="9"/>
  </r>
  <r>
    <x v="5"/>
    <x v="493"/>
    <x v="11"/>
  </r>
  <r>
    <x v="6"/>
    <x v="493"/>
    <x v="62"/>
  </r>
  <r>
    <x v="7"/>
    <x v="493"/>
    <x v="48"/>
  </r>
  <r>
    <x v="7"/>
    <x v="494"/>
    <x v="4"/>
  </r>
  <r>
    <x v="3"/>
    <x v="495"/>
    <x v="1"/>
  </r>
  <r>
    <x v="0"/>
    <x v="495"/>
    <x v="1"/>
  </r>
  <r>
    <x v="8"/>
    <x v="495"/>
    <x v="8"/>
  </r>
  <r>
    <x v="4"/>
    <x v="495"/>
    <x v="6"/>
  </r>
  <r>
    <x v="5"/>
    <x v="495"/>
    <x v="4"/>
  </r>
  <r>
    <x v="6"/>
    <x v="495"/>
    <x v="7"/>
  </r>
  <r>
    <x v="7"/>
    <x v="495"/>
    <x v="2"/>
  </r>
  <r>
    <x v="10"/>
    <x v="496"/>
    <x v="7"/>
  </r>
  <r>
    <x v="1"/>
    <x v="496"/>
    <x v="18"/>
  </r>
  <r>
    <x v="2"/>
    <x v="496"/>
    <x v="65"/>
  </r>
  <r>
    <x v="3"/>
    <x v="496"/>
    <x v="47"/>
  </r>
  <r>
    <x v="9"/>
    <x v="496"/>
    <x v="7"/>
  </r>
  <r>
    <x v="0"/>
    <x v="496"/>
    <x v="8"/>
  </r>
  <r>
    <x v="8"/>
    <x v="496"/>
    <x v="69"/>
  </r>
  <r>
    <x v="4"/>
    <x v="496"/>
    <x v="8"/>
  </r>
  <r>
    <x v="5"/>
    <x v="496"/>
    <x v="17"/>
  </r>
  <r>
    <x v="6"/>
    <x v="496"/>
    <x v="40"/>
  </r>
  <r>
    <x v="7"/>
    <x v="496"/>
    <x v="94"/>
  </r>
  <r>
    <x v="10"/>
    <x v="497"/>
    <x v="10"/>
  </r>
  <r>
    <x v="1"/>
    <x v="497"/>
    <x v="6"/>
  </r>
  <r>
    <x v="2"/>
    <x v="497"/>
    <x v="4"/>
  </r>
  <r>
    <x v="3"/>
    <x v="497"/>
    <x v="9"/>
  </r>
  <r>
    <x v="9"/>
    <x v="497"/>
    <x v="6"/>
  </r>
  <r>
    <x v="0"/>
    <x v="497"/>
    <x v="6"/>
  </r>
  <r>
    <x v="8"/>
    <x v="497"/>
    <x v="49"/>
  </r>
  <r>
    <x v="4"/>
    <x v="497"/>
    <x v="4"/>
  </r>
  <r>
    <x v="5"/>
    <x v="497"/>
    <x v="5"/>
  </r>
  <r>
    <x v="6"/>
    <x v="497"/>
    <x v="64"/>
  </r>
  <r>
    <x v="7"/>
    <x v="497"/>
    <x v="5"/>
  </r>
  <r>
    <x v="1"/>
    <x v="498"/>
    <x v="0"/>
  </r>
  <r>
    <x v="2"/>
    <x v="498"/>
    <x v="0"/>
  </r>
  <r>
    <x v="0"/>
    <x v="498"/>
    <x v="1"/>
  </r>
  <r>
    <x v="8"/>
    <x v="498"/>
    <x v="1"/>
  </r>
  <r>
    <x v="4"/>
    <x v="498"/>
    <x v="2"/>
  </r>
  <r>
    <x v="5"/>
    <x v="498"/>
    <x v="4"/>
  </r>
  <r>
    <x v="6"/>
    <x v="498"/>
    <x v="6"/>
  </r>
  <r>
    <x v="7"/>
    <x v="498"/>
    <x v="1"/>
  </r>
  <r>
    <x v="1"/>
    <x v="499"/>
    <x v="3"/>
  </r>
  <r>
    <x v="9"/>
    <x v="500"/>
    <x v="0"/>
  </r>
  <r>
    <x v="10"/>
    <x v="501"/>
    <x v="9"/>
  </r>
  <r>
    <x v="1"/>
    <x v="501"/>
    <x v="10"/>
  </r>
  <r>
    <x v="9"/>
    <x v="501"/>
    <x v="64"/>
  </r>
  <r>
    <x v="5"/>
    <x v="501"/>
    <x v="48"/>
  </r>
  <r>
    <x v="3"/>
    <x v="502"/>
    <x v="0"/>
  </r>
  <r>
    <x v="10"/>
    <x v="503"/>
    <x v="1"/>
  </r>
  <r>
    <x v="1"/>
    <x v="503"/>
    <x v="1"/>
  </r>
  <r>
    <x v="2"/>
    <x v="503"/>
    <x v="65"/>
  </r>
  <r>
    <x v="9"/>
    <x v="503"/>
    <x v="0"/>
  </r>
  <r>
    <x v="0"/>
    <x v="503"/>
    <x v="4"/>
  </r>
  <r>
    <x v="8"/>
    <x v="503"/>
    <x v="6"/>
  </r>
  <r>
    <x v="5"/>
    <x v="503"/>
    <x v="6"/>
  </r>
  <r>
    <x v="6"/>
    <x v="503"/>
    <x v="4"/>
  </r>
  <r>
    <x v="7"/>
    <x v="503"/>
    <x v="1"/>
  </r>
  <r>
    <x v="1"/>
    <x v="504"/>
    <x v="0"/>
  </r>
  <r>
    <x v="2"/>
    <x v="504"/>
    <x v="0"/>
  </r>
  <r>
    <x v="3"/>
    <x v="504"/>
    <x v="0"/>
  </r>
  <r>
    <x v="9"/>
    <x v="504"/>
    <x v="1"/>
  </r>
  <r>
    <x v="8"/>
    <x v="504"/>
    <x v="0"/>
  </r>
  <r>
    <x v="4"/>
    <x v="504"/>
    <x v="2"/>
  </r>
  <r>
    <x v="5"/>
    <x v="504"/>
    <x v="0"/>
  </r>
  <r>
    <x v="1"/>
    <x v="505"/>
    <x v="0"/>
  </r>
  <r>
    <x v="2"/>
    <x v="505"/>
    <x v="1"/>
  </r>
  <r>
    <x v="9"/>
    <x v="505"/>
    <x v="1"/>
  </r>
  <r>
    <x v="8"/>
    <x v="505"/>
    <x v="1"/>
  </r>
  <r>
    <x v="9"/>
    <x v="506"/>
    <x v="0"/>
  </r>
  <r>
    <x v="0"/>
    <x v="506"/>
    <x v="0"/>
  </r>
  <r>
    <x v="7"/>
    <x v="506"/>
    <x v="0"/>
  </r>
  <r>
    <x v="1"/>
    <x v="507"/>
    <x v="1"/>
  </r>
  <r>
    <x v="2"/>
    <x v="507"/>
    <x v="1"/>
  </r>
  <r>
    <x v="3"/>
    <x v="507"/>
    <x v="1"/>
  </r>
  <r>
    <x v="9"/>
    <x v="507"/>
    <x v="0"/>
  </r>
  <r>
    <x v="8"/>
    <x v="507"/>
    <x v="0"/>
  </r>
  <r>
    <x v="5"/>
    <x v="507"/>
    <x v="2"/>
  </r>
  <r>
    <x v="6"/>
    <x v="507"/>
    <x v="4"/>
  </r>
  <r>
    <x v="7"/>
    <x v="507"/>
    <x v="1"/>
  </r>
  <r>
    <x v="10"/>
    <x v="508"/>
    <x v="52"/>
  </r>
  <r>
    <x v="1"/>
    <x v="508"/>
    <x v="51"/>
  </r>
  <r>
    <x v="2"/>
    <x v="508"/>
    <x v="64"/>
  </r>
  <r>
    <x v="3"/>
    <x v="508"/>
    <x v="49"/>
  </r>
  <r>
    <x v="9"/>
    <x v="508"/>
    <x v="71"/>
  </r>
  <r>
    <x v="0"/>
    <x v="508"/>
    <x v="71"/>
  </r>
  <r>
    <x v="8"/>
    <x v="508"/>
    <x v="5"/>
  </r>
  <r>
    <x v="4"/>
    <x v="508"/>
    <x v="71"/>
  </r>
  <r>
    <x v="5"/>
    <x v="508"/>
    <x v="18"/>
  </r>
  <r>
    <x v="6"/>
    <x v="508"/>
    <x v="11"/>
  </r>
  <r>
    <x v="7"/>
    <x v="508"/>
    <x v="47"/>
  </r>
  <r>
    <x v="10"/>
    <x v="509"/>
    <x v="3"/>
  </r>
  <r>
    <x v="1"/>
    <x v="509"/>
    <x v="1"/>
  </r>
  <r>
    <x v="9"/>
    <x v="509"/>
    <x v="10"/>
  </r>
  <r>
    <x v="0"/>
    <x v="509"/>
    <x v="1"/>
  </r>
  <r>
    <x v="8"/>
    <x v="509"/>
    <x v="0"/>
  </r>
  <r>
    <x v="4"/>
    <x v="509"/>
    <x v="4"/>
  </r>
  <r>
    <x v="6"/>
    <x v="509"/>
    <x v="0"/>
  </r>
  <r>
    <x v="7"/>
    <x v="509"/>
    <x v="0"/>
  </r>
  <r>
    <x v="9"/>
    <x v="510"/>
    <x v="0"/>
  </r>
  <r>
    <x v="9"/>
    <x v="511"/>
    <x v="3"/>
  </r>
  <r>
    <x v="1"/>
    <x v="512"/>
    <x v="0"/>
  </r>
  <r>
    <x v="4"/>
    <x v="512"/>
    <x v="0"/>
  </r>
  <r>
    <x v="5"/>
    <x v="512"/>
    <x v="0"/>
  </r>
  <r>
    <x v="7"/>
    <x v="512"/>
    <x v="0"/>
  </r>
  <r>
    <x v="10"/>
    <x v="513"/>
    <x v="6"/>
  </r>
  <r>
    <x v="1"/>
    <x v="513"/>
    <x v="0"/>
  </r>
  <r>
    <x v="2"/>
    <x v="513"/>
    <x v="4"/>
  </r>
  <r>
    <x v="3"/>
    <x v="513"/>
    <x v="2"/>
  </r>
  <r>
    <x v="0"/>
    <x v="513"/>
    <x v="1"/>
  </r>
  <r>
    <x v="4"/>
    <x v="513"/>
    <x v="5"/>
  </r>
  <r>
    <x v="5"/>
    <x v="513"/>
    <x v="2"/>
  </r>
  <r>
    <x v="6"/>
    <x v="513"/>
    <x v="1"/>
  </r>
  <r>
    <x v="7"/>
    <x v="513"/>
    <x v="0"/>
  </r>
  <r>
    <x v="6"/>
    <x v="514"/>
    <x v="13"/>
  </r>
  <r>
    <x v="4"/>
    <x v="515"/>
    <x v="1"/>
  </r>
  <r>
    <x v="10"/>
    <x v="516"/>
    <x v="47"/>
  </r>
  <r>
    <x v="1"/>
    <x v="516"/>
    <x v="6"/>
  </r>
  <r>
    <x v="2"/>
    <x v="516"/>
    <x v="48"/>
  </r>
  <r>
    <x v="3"/>
    <x v="516"/>
    <x v="10"/>
  </r>
  <r>
    <x v="9"/>
    <x v="516"/>
    <x v="4"/>
  </r>
  <r>
    <x v="0"/>
    <x v="516"/>
    <x v="7"/>
  </r>
  <r>
    <x v="8"/>
    <x v="516"/>
    <x v="2"/>
  </r>
  <r>
    <x v="4"/>
    <x v="516"/>
    <x v="2"/>
  </r>
  <r>
    <x v="5"/>
    <x v="516"/>
    <x v="0"/>
  </r>
  <r>
    <x v="6"/>
    <x v="516"/>
    <x v="0"/>
  </r>
  <r>
    <x v="10"/>
    <x v="517"/>
    <x v="0"/>
  </r>
  <r>
    <x v="1"/>
    <x v="517"/>
    <x v="1"/>
  </r>
  <r>
    <x v="2"/>
    <x v="517"/>
    <x v="4"/>
  </r>
  <r>
    <x v="3"/>
    <x v="517"/>
    <x v="4"/>
  </r>
  <r>
    <x v="0"/>
    <x v="517"/>
    <x v="3"/>
  </r>
  <r>
    <x v="4"/>
    <x v="517"/>
    <x v="1"/>
  </r>
  <r>
    <x v="5"/>
    <x v="517"/>
    <x v="1"/>
  </r>
  <r>
    <x v="6"/>
    <x v="517"/>
    <x v="4"/>
  </r>
  <r>
    <x v="7"/>
    <x v="517"/>
    <x v="3"/>
  </r>
  <r>
    <x v="10"/>
    <x v="518"/>
    <x v="48"/>
  </r>
  <r>
    <x v="1"/>
    <x v="518"/>
    <x v="48"/>
  </r>
  <r>
    <x v="2"/>
    <x v="518"/>
    <x v="8"/>
  </r>
  <r>
    <x v="3"/>
    <x v="518"/>
    <x v="47"/>
  </r>
  <r>
    <x v="9"/>
    <x v="518"/>
    <x v="18"/>
  </r>
  <r>
    <x v="0"/>
    <x v="518"/>
    <x v="64"/>
  </r>
  <r>
    <x v="8"/>
    <x v="518"/>
    <x v="18"/>
  </r>
  <r>
    <x v="4"/>
    <x v="518"/>
    <x v="65"/>
  </r>
  <r>
    <x v="5"/>
    <x v="518"/>
    <x v="64"/>
  </r>
  <r>
    <x v="6"/>
    <x v="518"/>
    <x v="64"/>
  </r>
  <r>
    <x v="7"/>
    <x v="518"/>
    <x v="49"/>
  </r>
  <r>
    <x v="10"/>
    <x v="519"/>
    <x v="64"/>
  </r>
  <r>
    <x v="1"/>
    <x v="519"/>
    <x v="50"/>
  </r>
  <r>
    <x v="2"/>
    <x v="519"/>
    <x v="6"/>
  </r>
  <r>
    <x v="3"/>
    <x v="519"/>
    <x v="49"/>
  </r>
  <r>
    <x v="9"/>
    <x v="519"/>
    <x v="18"/>
  </r>
  <r>
    <x v="0"/>
    <x v="519"/>
    <x v="17"/>
  </r>
  <r>
    <x v="8"/>
    <x v="519"/>
    <x v="51"/>
  </r>
  <r>
    <x v="4"/>
    <x v="519"/>
    <x v="5"/>
  </r>
  <r>
    <x v="5"/>
    <x v="519"/>
    <x v="11"/>
  </r>
  <r>
    <x v="6"/>
    <x v="519"/>
    <x v="59"/>
  </r>
  <r>
    <x v="7"/>
    <x v="519"/>
    <x v="65"/>
  </r>
  <r>
    <x v="10"/>
    <x v="520"/>
    <x v="1"/>
  </r>
  <r>
    <x v="1"/>
    <x v="520"/>
    <x v="0"/>
  </r>
  <r>
    <x v="8"/>
    <x v="520"/>
    <x v="1"/>
  </r>
  <r>
    <x v="4"/>
    <x v="520"/>
    <x v="0"/>
  </r>
  <r>
    <x v="5"/>
    <x v="520"/>
    <x v="0"/>
  </r>
  <r>
    <x v="7"/>
    <x v="520"/>
    <x v="0"/>
  </r>
  <r>
    <x v="8"/>
    <x v="521"/>
    <x v="0"/>
  </r>
  <r>
    <x v="6"/>
    <x v="521"/>
    <x v="1"/>
  </r>
  <r>
    <x v="7"/>
    <x v="521"/>
    <x v="0"/>
  </r>
  <r>
    <x v="3"/>
    <x v="522"/>
    <x v="0"/>
  </r>
  <r>
    <x v="10"/>
    <x v="523"/>
    <x v="4"/>
  </r>
  <r>
    <x v="1"/>
    <x v="523"/>
    <x v="4"/>
  </r>
  <r>
    <x v="2"/>
    <x v="523"/>
    <x v="1"/>
  </r>
  <r>
    <x v="3"/>
    <x v="523"/>
    <x v="0"/>
  </r>
  <r>
    <x v="9"/>
    <x v="523"/>
    <x v="1"/>
  </r>
  <r>
    <x v="0"/>
    <x v="523"/>
    <x v="6"/>
  </r>
  <r>
    <x v="8"/>
    <x v="523"/>
    <x v="1"/>
  </r>
  <r>
    <x v="6"/>
    <x v="523"/>
    <x v="1"/>
  </r>
  <r>
    <x v="10"/>
    <x v="524"/>
    <x v="1"/>
  </r>
  <r>
    <x v="1"/>
    <x v="524"/>
    <x v="0"/>
  </r>
  <r>
    <x v="2"/>
    <x v="524"/>
    <x v="0"/>
  </r>
  <r>
    <x v="3"/>
    <x v="524"/>
    <x v="4"/>
  </r>
  <r>
    <x v="9"/>
    <x v="524"/>
    <x v="0"/>
  </r>
  <r>
    <x v="0"/>
    <x v="524"/>
    <x v="4"/>
  </r>
  <r>
    <x v="4"/>
    <x v="524"/>
    <x v="0"/>
  </r>
  <r>
    <x v="5"/>
    <x v="524"/>
    <x v="0"/>
  </r>
  <r>
    <x v="6"/>
    <x v="524"/>
    <x v="1"/>
  </r>
  <r>
    <x v="7"/>
    <x v="524"/>
    <x v="0"/>
  </r>
  <r>
    <x v="10"/>
    <x v="525"/>
    <x v="5"/>
  </r>
  <r>
    <x v="1"/>
    <x v="525"/>
    <x v="4"/>
  </r>
  <r>
    <x v="3"/>
    <x v="525"/>
    <x v="3"/>
  </r>
  <r>
    <x v="9"/>
    <x v="525"/>
    <x v="4"/>
  </r>
  <r>
    <x v="0"/>
    <x v="525"/>
    <x v="2"/>
  </r>
  <r>
    <x v="8"/>
    <x v="525"/>
    <x v="4"/>
  </r>
  <r>
    <x v="4"/>
    <x v="525"/>
    <x v="1"/>
  </r>
  <r>
    <x v="5"/>
    <x v="525"/>
    <x v="0"/>
  </r>
  <r>
    <x v="6"/>
    <x v="525"/>
    <x v="4"/>
  </r>
  <r>
    <x v="7"/>
    <x v="525"/>
    <x v="9"/>
  </r>
  <r>
    <x v="2"/>
    <x v="526"/>
    <x v="0"/>
  </r>
  <r>
    <x v="7"/>
    <x v="527"/>
    <x v="10"/>
  </r>
  <r>
    <x v="2"/>
    <x v="528"/>
    <x v="3"/>
  </r>
  <r>
    <x v="9"/>
    <x v="528"/>
    <x v="0"/>
  </r>
  <r>
    <x v="4"/>
    <x v="528"/>
    <x v="0"/>
  </r>
  <r>
    <x v="7"/>
    <x v="528"/>
    <x v="0"/>
  </r>
  <r>
    <x v="10"/>
    <x v="529"/>
    <x v="0"/>
  </r>
  <r>
    <x v="1"/>
    <x v="529"/>
    <x v="2"/>
  </r>
  <r>
    <x v="2"/>
    <x v="529"/>
    <x v="4"/>
  </r>
  <r>
    <x v="3"/>
    <x v="529"/>
    <x v="1"/>
  </r>
  <r>
    <x v="9"/>
    <x v="529"/>
    <x v="0"/>
  </r>
  <r>
    <x v="0"/>
    <x v="529"/>
    <x v="1"/>
  </r>
  <r>
    <x v="8"/>
    <x v="529"/>
    <x v="1"/>
  </r>
  <r>
    <x v="4"/>
    <x v="529"/>
    <x v="0"/>
  </r>
  <r>
    <x v="5"/>
    <x v="529"/>
    <x v="6"/>
  </r>
  <r>
    <x v="6"/>
    <x v="529"/>
    <x v="5"/>
  </r>
  <r>
    <x v="7"/>
    <x v="529"/>
    <x v="6"/>
  </r>
  <r>
    <x v="8"/>
    <x v="530"/>
    <x v="0"/>
  </r>
  <r>
    <x v="6"/>
    <x v="530"/>
    <x v="0"/>
  </r>
  <r>
    <x v="2"/>
    <x v="531"/>
    <x v="0"/>
  </r>
  <r>
    <x v="1"/>
    <x v="532"/>
    <x v="4"/>
  </r>
  <r>
    <x v="2"/>
    <x v="532"/>
    <x v="4"/>
  </r>
  <r>
    <x v="3"/>
    <x v="532"/>
    <x v="0"/>
  </r>
  <r>
    <x v="9"/>
    <x v="532"/>
    <x v="1"/>
  </r>
  <r>
    <x v="0"/>
    <x v="532"/>
    <x v="0"/>
  </r>
  <r>
    <x v="8"/>
    <x v="532"/>
    <x v="0"/>
  </r>
  <r>
    <x v="10"/>
    <x v="533"/>
    <x v="6"/>
  </r>
  <r>
    <x v="0"/>
    <x v="533"/>
    <x v="1"/>
  </r>
  <r>
    <x v="8"/>
    <x v="533"/>
    <x v="2"/>
  </r>
  <r>
    <x v="5"/>
    <x v="533"/>
    <x v="2"/>
  </r>
  <r>
    <x v="6"/>
    <x v="533"/>
    <x v="71"/>
  </r>
  <r>
    <x v="7"/>
    <x v="533"/>
    <x v="4"/>
  </r>
  <r>
    <x v="3"/>
    <x v="534"/>
    <x v="1"/>
  </r>
  <r>
    <x v="9"/>
    <x v="534"/>
    <x v="0"/>
  </r>
  <r>
    <x v="6"/>
    <x v="534"/>
    <x v="4"/>
  </r>
  <r>
    <x v="10"/>
    <x v="535"/>
    <x v="5"/>
  </r>
  <r>
    <x v="1"/>
    <x v="535"/>
    <x v="0"/>
  </r>
  <r>
    <x v="2"/>
    <x v="535"/>
    <x v="1"/>
  </r>
  <r>
    <x v="3"/>
    <x v="535"/>
    <x v="9"/>
  </r>
  <r>
    <x v="9"/>
    <x v="535"/>
    <x v="4"/>
  </r>
  <r>
    <x v="0"/>
    <x v="535"/>
    <x v="0"/>
  </r>
  <r>
    <x v="8"/>
    <x v="535"/>
    <x v="6"/>
  </r>
  <r>
    <x v="4"/>
    <x v="535"/>
    <x v="4"/>
  </r>
  <r>
    <x v="5"/>
    <x v="535"/>
    <x v="1"/>
  </r>
  <r>
    <x v="6"/>
    <x v="535"/>
    <x v="2"/>
  </r>
  <r>
    <x v="7"/>
    <x v="535"/>
    <x v="5"/>
  </r>
  <r>
    <x v="2"/>
    <x v="536"/>
    <x v="0"/>
  </r>
  <r>
    <x v="3"/>
    <x v="536"/>
    <x v="1"/>
  </r>
  <r>
    <x v="9"/>
    <x v="536"/>
    <x v="0"/>
  </r>
  <r>
    <x v="0"/>
    <x v="536"/>
    <x v="0"/>
  </r>
  <r>
    <x v="8"/>
    <x v="536"/>
    <x v="0"/>
  </r>
  <r>
    <x v="5"/>
    <x v="536"/>
    <x v="1"/>
  </r>
  <r>
    <x v="6"/>
    <x v="536"/>
    <x v="0"/>
  </r>
  <r>
    <x v="7"/>
    <x v="536"/>
    <x v="0"/>
  </r>
  <r>
    <x v="10"/>
    <x v="537"/>
    <x v="0"/>
  </r>
  <r>
    <x v="5"/>
    <x v="537"/>
    <x v="1"/>
  </r>
  <r>
    <x v="6"/>
    <x v="537"/>
    <x v="0"/>
  </r>
  <r>
    <x v="1"/>
    <x v="538"/>
    <x v="0"/>
  </r>
  <r>
    <x v="5"/>
    <x v="538"/>
    <x v="0"/>
  </r>
  <r>
    <x v="2"/>
    <x v="539"/>
    <x v="0"/>
  </r>
  <r>
    <x v="10"/>
    <x v="540"/>
    <x v="0"/>
  </r>
  <r>
    <x v="5"/>
    <x v="541"/>
    <x v="0"/>
  </r>
  <r>
    <x v="10"/>
    <x v="542"/>
    <x v="0"/>
  </r>
  <r>
    <x v="1"/>
    <x v="542"/>
    <x v="0"/>
  </r>
  <r>
    <x v="10"/>
    <x v="543"/>
    <x v="4"/>
  </r>
  <r>
    <x v="1"/>
    <x v="543"/>
    <x v="4"/>
  </r>
  <r>
    <x v="10"/>
    <x v="544"/>
    <x v="1"/>
  </r>
  <r>
    <x v="1"/>
    <x v="544"/>
    <x v="4"/>
  </r>
  <r>
    <x v="2"/>
    <x v="544"/>
    <x v="2"/>
  </r>
  <r>
    <x v="0"/>
    <x v="544"/>
    <x v="10"/>
  </r>
  <r>
    <x v="8"/>
    <x v="544"/>
    <x v="10"/>
  </r>
  <r>
    <x v="4"/>
    <x v="544"/>
    <x v="4"/>
  </r>
  <r>
    <x v="5"/>
    <x v="544"/>
    <x v="1"/>
  </r>
  <r>
    <x v="6"/>
    <x v="544"/>
    <x v="0"/>
  </r>
  <r>
    <x v="10"/>
    <x v="545"/>
    <x v="2"/>
  </r>
  <r>
    <x v="1"/>
    <x v="545"/>
    <x v="4"/>
  </r>
  <r>
    <x v="10"/>
    <x v="546"/>
    <x v="7"/>
  </r>
  <r>
    <x v="1"/>
    <x v="546"/>
    <x v="1"/>
  </r>
  <r>
    <x v="2"/>
    <x v="546"/>
    <x v="0"/>
  </r>
  <r>
    <x v="9"/>
    <x v="546"/>
    <x v="1"/>
  </r>
  <r>
    <x v="0"/>
    <x v="546"/>
    <x v="0"/>
  </r>
  <r>
    <x v="8"/>
    <x v="546"/>
    <x v="10"/>
  </r>
  <r>
    <x v="4"/>
    <x v="546"/>
    <x v="4"/>
  </r>
  <r>
    <x v="5"/>
    <x v="546"/>
    <x v="4"/>
  </r>
  <r>
    <x v="6"/>
    <x v="546"/>
    <x v="5"/>
  </r>
  <r>
    <x v="7"/>
    <x v="546"/>
    <x v="49"/>
  </r>
  <r>
    <x v="10"/>
    <x v="547"/>
    <x v="4"/>
  </r>
  <r>
    <x v="1"/>
    <x v="547"/>
    <x v="1"/>
  </r>
  <r>
    <x v="2"/>
    <x v="547"/>
    <x v="4"/>
  </r>
  <r>
    <x v="3"/>
    <x v="547"/>
    <x v="1"/>
  </r>
  <r>
    <x v="9"/>
    <x v="547"/>
    <x v="2"/>
  </r>
  <r>
    <x v="0"/>
    <x v="547"/>
    <x v="5"/>
  </r>
  <r>
    <x v="8"/>
    <x v="547"/>
    <x v="48"/>
  </r>
  <r>
    <x v="4"/>
    <x v="547"/>
    <x v="9"/>
  </r>
  <r>
    <x v="5"/>
    <x v="547"/>
    <x v="49"/>
  </r>
  <r>
    <x v="6"/>
    <x v="547"/>
    <x v="48"/>
  </r>
  <r>
    <x v="7"/>
    <x v="547"/>
    <x v="15"/>
  </r>
  <r>
    <x v="1"/>
    <x v="548"/>
    <x v="10"/>
  </r>
  <r>
    <x v="3"/>
    <x v="548"/>
    <x v="10"/>
  </r>
  <r>
    <x v="0"/>
    <x v="548"/>
    <x v="10"/>
  </r>
  <r>
    <x v="8"/>
    <x v="548"/>
    <x v="2"/>
  </r>
  <r>
    <x v="4"/>
    <x v="548"/>
    <x v="48"/>
  </r>
  <r>
    <x v="5"/>
    <x v="548"/>
    <x v="49"/>
  </r>
  <r>
    <x v="6"/>
    <x v="548"/>
    <x v="18"/>
  </r>
  <r>
    <x v="7"/>
    <x v="548"/>
    <x v="6"/>
  </r>
  <r>
    <x v="10"/>
    <x v="549"/>
    <x v="0"/>
  </r>
  <r>
    <x v="1"/>
    <x v="549"/>
    <x v="10"/>
  </r>
  <r>
    <x v="7"/>
    <x v="550"/>
    <x v="0"/>
  </r>
  <r>
    <x v="10"/>
    <x v="551"/>
    <x v="0"/>
  </r>
  <r>
    <x v="1"/>
    <x v="551"/>
    <x v="4"/>
  </r>
  <r>
    <x v="10"/>
    <x v="552"/>
    <x v="4"/>
  </r>
  <r>
    <x v="1"/>
    <x v="552"/>
    <x v="0"/>
  </r>
  <r>
    <x v="2"/>
    <x v="552"/>
    <x v="2"/>
  </r>
  <r>
    <x v="3"/>
    <x v="552"/>
    <x v="0"/>
  </r>
  <r>
    <x v="9"/>
    <x v="552"/>
    <x v="0"/>
  </r>
  <r>
    <x v="0"/>
    <x v="552"/>
    <x v="6"/>
  </r>
  <r>
    <x v="8"/>
    <x v="552"/>
    <x v="6"/>
  </r>
  <r>
    <x v="4"/>
    <x v="552"/>
    <x v="0"/>
  </r>
  <r>
    <x v="5"/>
    <x v="552"/>
    <x v="10"/>
  </r>
  <r>
    <x v="6"/>
    <x v="552"/>
    <x v="5"/>
  </r>
  <r>
    <x v="7"/>
    <x v="552"/>
    <x v="6"/>
  </r>
  <r>
    <x v="10"/>
    <x v="553"/>
    <x v="1"/>
  </r>
  <r>
    <x v="1"/>
    <x v="553"/>
    <x v="2"/>
  </r>
  <r>
    <x v="2"/>
    <x v="553"/>
    <x v="1"/>
  </r>
  <r>
    <x v="9"/>
    <x v="553"/>
    <x v="1"/>
  </r>
  <r>
    <x v="0"/>
    <x v="553"/>
    <x v="2"/>
  </r>
  <r>
    <x v="8"/>
    <x v="553"/>
    <x v="0"/>
  </r>
  <r>
    <x v="4"/>
    <x v="553"/>
    <x v="1"/>
  </r>
  <r>
    <x v="5"/>
    <x v="553"/>
    <x v="4"/>
  </r>
  <r>
    <x v="6"/>
    <x v="553"/>
    <x v="0"/>
  </r>
  <r>
    <x v="7"/>
    <x v="553"/>
    <x v="6"/>
  </r>
  <r>
    <x v="10"/>
    <x v="554"/>
    <x v="4"/>
  </r>
  <r>
    <x v="1"/>
    <x v="554"/>
    <x v="1"/>
  </r>
  <r>
    <x v="3"/>
    <x v="554"/>
    <x v="1"/>
  </r>
  <r>
    <x v="0"/>
    <x v="554"/>
    <x v="4"/>
  </r>
  <r>
    <x v="8"/>
    <x v="554"/>
    <x v="10"/>
  </r>
  <r>
    <x v="4"/>
    <x v="554"/>
    <x v="2"/>
  </r>
  <r>
    <x v="5"/>
    <x v="554"/>
    <x v="7"/>
  </r>
  <r>
    <x v="6"/>
    <x v="554"/>
    <x v="5"/>
  </r>
  <r>
    <x v="7"/>
    <x v="554"/>
    <x v="7"/>
  </r>
  <r>
    <x v="1"/>
    <x v="555"/>
    <x v="0"/>
  </r>
  <r>
    <x v="1"/>
    <x v="556"/>
    <x v="77"/>
  </r>
  <r>
    <x v="2"/>
    <x v="556"/>
    <x v="17"/>
  </r>
  <r>
    <x v="3"/>
    <x v="556"/>
    <x v="7"/>
  </r>
  <r>
    <x v="9"/>
    <x v="556"/>
    <x v="10"/>
  </r>
  <r>
    <x v="0"/>
    <x v="556"/>
    <x v="5"/>
  </r>
  <r>
    <x v="8"/>
    <x v="556"/>
    <x v="2"/>
  </r>
  <r>
    <x v="5"/>
    <x v="556"/>
    <x v="117"/>
  </r>
  <r>
    <x v="6"/>
    <x v="556"/>
    <x v="10"/>
  </r>
  <r>
    <x v="7"/>
    <x v="556"/>
    <x v="115"/>
  </r>
  <r>
    <x v="5"/>
    <x v="557"/>
    <x v="1"/>
  </r>
  <r>
    <x v="6"/>
    <x v="557"/>
    <x v="1"/>
  </r>
  <r>
    <x v="10"/>
    <x v="558"/>
    <x v="4"/>
  </r>
  <r>
    <x v="1"/>
    <x v="558"/>
    <x v="0"/>
  </r>
  <r>
    <x v="3"/>
    <x v="558"/>
    <x v="10"/>
  </r>
  <r>
    <x v="0"/>
    <x v="558"/>
    <x v="1"/>
  </r>
  <r>
    <x v="8"/>
    <x v="558"/>
    <x v="0"/>
  </r>
  <r>
    <x v="4"/>
    <x v="558"/>
    <x v="0"/>
  </r>
  <r>
    <x v="5"/>
    <x v="558"/>
    <x v="0"/>
  </r>
  <r>
    <x v="6"/>
    <x v="558"/>
    <x v="4"/>
  </r>
  <r>
    <x v="1"/>
    <x v="559"/>
    <x v="1"/>
  </r>
  <r>
    <x v="2"/>
    <x v="559"/>
    <x v="0"/>
  </r>
  <r>
    <x v="3"/>
    <x v="559"/>
    <x v="0"/>
  </r>
  <r>
    <x v="0"/>
    <x v="559"/>
    <x v="1"/>
  </r>
  <r>
    <x v="8"/>
    <x v="559"/>
    <x v="2"/>
  </r>
  <r>
    <x v="4"/>
    <x v="559"/>
    <x v="1"/>
  </r>
  <r>
    <x v="5"/>
    <x v="559"/>
    <x v="0"/>
  </r>
  <r>
    <x v="6"/>
    <x v="559"/>
    <x v="0"/>
  </r>
  <r>
    <x v="7"/>
    <x v="559"/>
    <x v="0"/>
  </r>
  <r>
    <x v="10"/>
    <x v="560"/>
    <x v="1"/>
  </r>
  <r>
    <x v="1"/>
    <x v="560"/>
    <x v="1"/>
  </r>
  <r>
    <x v="5"/>
    <x v="561"/>
    <x v="3"/>
  </r>
  <r>
    <x v="6"/>
    <x v="561"/>
    <x v="4"/>
  </r>
  <r>
    <x v="7"/>
    <x v="561"/>
    <x v="4"/>
  </r>
  <r>
    <x v="10"/>
    <x v="562"/>
    <x v="89"/>
  </r>
  <r>
    <x v="1"/>
    <x v="562"/>
    <x v="121"/>
  </r>
  <r>
    <x v="2"/>
    <x v="562"/>
    <x v="101"/>
  </r>
  <r>
    <x v="3"/>
    <x v="562"/>
    <x v="122"/>
  </r>
  <r>
    <x v="9"/>
    <x v="562"/>
    <x v="116"/>
  </r>
  <r>
    <x v="0"/>
    <x v="562"/>
    <x v="123"/>
  </r>
  <r>
    <x v="8"/>
    <x v="562"/>
    <x v="102"/>
  </r>
  <r>
    <x v="8"/>
    <x v="562"/>
    <x v="0"/>
  </r>
  <r>
    <x v="4"/>
    <x v="562"/>
    <x v="29"/>
  </r>
  <r>
    <x v="5"/>
    <x v="562"/>
    <x v="124"/>
  </r>
  <r>
    <x v="5"/>
    <x v="562"/>
    <x v="0"/>
  </r>
  <r>
    <x v="6"/>
    <x v="562"/>
    <x v="125"/>
  </r>
  <r>
    <x v="6"/>
    <x v="562"/>
    <x v="1"/>
  </r>
  <r>
    <x v="7"/>
    <x v="562"/>
    <x v="126"/>
  </r>
  <r>
    <x v="7"/>
    <x v="562"/>
    <x v="0"/>
  </r>
  <r>
    <x v="10"/>
    <x v="563"/>
    <x v="62"/>
  </r>
  <r>
    <x v="1"/>
    <x v="563"/>
    <x v="8"/>
  </r>
  <r>
    <x v="2"/>
    <x v="563"/>
    <x v="9"/>
  </r>
  <r>
    <x v="3"/>
    <x v="563"/>
    <x v="47"/>
  </r>
  <r>
    <x v="9"/>
    <x v="563"/>
    <x v="47"/>
  </r>
  <r>
    <x v="0"/>
    <x v="563"/>
    <x v="18"/>
  </r>
  <r>
    <x v="8"/>
    <x v="563"/>
    <x v="71"/>
  </r>
  <r>
    <x v="4"/>
    <x v="563"/>
    <x v="65"/>
  </r>
  <r>
    <x v="5"/>
    <x v="563"/>
    <x v="11"/>
  </r>
  <r>
    <x v="6"/>
    <x v="563"/>
    <x v="77"/>
  </r>
  <r>
    <x v="7"/>
    <x v="563"/>
    <x v="48"/>
  </r>
  <r>
    <x v="10"/>
    <x v="564"/>
    <x v="7"/>
  </r>
  <r>
    <x v="1"/>
    <x v="564"/>
    <x v="48"/>
  </r>
  <r>
    <x v="2"/>
    <x v="564"/>
    <x v="6"/>
  </r>
  <r>
    <x v="3"/>
    <x v="564"/>
    <x v="9"/>
  </r>
  <r>
    <x v="9"/>
    <x v="564"/>
    <x v="5"/>
  </r>
  <r>
    <x v="0"/>
    <x v="564"/>
    <x v="5"/>
  </r>
  <r>
    <x v="8"/>
    <x v="564"/>
    <x v="13"/>
  </r>
  <r>
    <x v="4"/>
    <x v="564"/>
    <x v="48"/>
  </r>
  <r>
    <x v="5"/>
    <x v="564"/>
    <x v="48"/>
  </r>
  <r>
    <x v="6"/>
    <x v="564"/>
    <x v="64"/>
  </r>
  <r>
    <x v="7"/>
    <x v="564"/>
    <x v="48"/>
  </r>
  <r>
    <x v="6"/>
    <x v="565"/>
    <x v="6"/>
  </r>
  <r>
    <x v="3"/>
    <x v="566"/>
    <x v="0"/>
  </r>
  <r>
    <x v="9"/>
    <x v="566"/>
    <x v="0"/>
  </r>
  <r>
    <x v="5"/>
    <x v="566"/>
    <x v="1"/>
  </r>
  <r>
    <x v="6"/>
    <x v="566"/>
    <x v="0"/>
  </r>
  <r>
    <x v="10"/>
    <x v="567"/>
    <x v="1"/>
  </r>
  <r>
    <x v="1"/>
    <x v="568"/>
    <x v="1"/>
  </r>
  <r>
    <x v="0"/>
    <x v="568"/>
    <x v="3"/>
  </r>
  <r>
    <x v="8"/>
    <x v="568"/>
    <x v="4"/>
  </r>
  <r>
    <x v="10"/>
    <x v="569"/>
    <x v="7"/>
  </r>
  <r>
    <x v="1"/>
    <x v="569"/>
    <x v="0"/>
  </r>
  <r>
    <x v="2"/>
    <x v="569"/>
    <x v="0"/>
  </r>
  <r>
    <x v="3"/>
    <x v="569"/>
    <x v="4"/>
  </r>
  <r>
    <x v="4"/>
    <x v="569"/>
    <x v="65"/>
  </r>
  <r>
    <x v="5"/>
    <x v="569"/>
    <x v="0"/>
  </r>
  <r>
    <x v="7"/>
    <x v="569"/>
    <x v="4"/>
  </r>
  <r>
    <x v="10"/>
    <x v="570"/>
    <x v="0"/>
  </r>
  <r>
    <x v="1"/>
    <x v="571"/>
    <x v="1"/>
  </r>
  <r>
    <x v="2"/>
    <x v="571"/>
    <x v="0"/>
  </r>
  <r>
    <x v="3"/>
    <x v="571"/>
    <x v="0"/>
  </r>
  <r>
    <x v="6"/>
    <x v="571"/>
    <x v="0"/>
  </r>
  <r>
    <x v="7"/>
    <x v="571"/>
    <x v="0"/>
  </r>
  <r>
    <x v="10"/>
    <x v="572"/>
    <x v="6"/>
  </r>
  <r>
    <x v="1"/>
    <x v="572"/>
    <x v="2"/>
  </r>
  <r>
    <x v="2"/>
    <x v="572"/>
    <x v="6"/>
  </r>
  <r>
    <x v="3"/>
    <x v="572"/>
    <x v="7"/>
  </r>
  <r>
    <x v="9"/>
    <x v="572"/>
    <x v="2"/>
  </r>
  <r>
    <x v="0"/>
    <x v="572"/>
    <x v="9"/>
  </r>
  <r>
    <x v="8"/>
    <x v="572"/>
    <x v="2"/>
  </r>
  <r>
    <x v="4"/>
    <x v="572"/>
    <x v="2"/>
  </r>
  <r>
    <x v="5"/>
    <x v="572"/>
    <x v="1"/>
  </r>
  <r>
    <x v="6"/>
    <x v="572"/>
    <x v="4"/>
  </r>
  <r>
    <x v="7"/>
    <x v="572"/>
    <x v="4"/>
  </r>
  <r>
    <x v="10"/>
    <x v="573"/>
    <x v="0"/>
  </r>
  <r>
    <x v="1"/>
    <x v="573"/>
    <x v="4"/>
  </r>
  <r>
    <x v="2"/>
    <x v="573"/>
    <x v="1"/>
  </r>
  <r>
    <x v="3"/>
    <x v="573"/>
    <x v="1"/>
  </r>
  <r>
    <x v="9"/>
    <x v="573"/>
    <x v="1"/>
  </r>
  <r>
    <x v="8"/>
    <x v="573"/>
    <x v="4"/>
  </r>
  <r>
    <x v="4"/>
    <x v="573"/>
    <x v="2"/>
  </r>
  <r>
    <x v="5"/>
    <x v="573"/>
    <x v="1"/>
  </r>
  <r>
    <x v="10"/>
    <x v="574"/>
    <x v="0"/>
  </r>
  <r>
    <x v="9"/>
    <x v="574"/>
    <x v="1"/>
  </r>
  <r>
    <x v="8"/>
    <x v="574"/>
    <x v="0"/>
  </r>
  <r>
    <x v="6"/>
    <x v="574"/>
    <x v="0"/>
  </r>
  <r>
    <x v="1"/>
    <x v="575"/>
    <x v="0"/>
  </r>
  <r>
    <x v="3"/>
    <x v="575"/>
    <x v="0"/>
  </r>
  <r>
    <x v="9"/>
    <x v="575"/>
    <x v="0"/>
  </r>
  <r>
    <x v="0"/>
    <x v="575"/>
    <x v="1"/>
  </r>
  <r>
    <x v="8"/>
    <x v="575"/>
    <x v="0"/>
  </r>
  <r>
    <x v="4"/>
    <x v="575"/>
    <x v="0"/>
  </r>
  <r>
    <x v="1"/>
    <x v="576"/>
    <x v="0"/>
  </r>
  <r>
    <x v="6"/>
    <x v="576"/>
    <x v="0"/>
  </r>
  <r>
    <x v="7"/>
    <x v="576"/>
    <x v="0"/>
  </r>
  <r>
    <x v="9"/>
    <x v="577"/>
    <x v="0"/>
  </r>
  <r>
    <x v="8"/>
    <x v="577"/>
    <x v="1"/>
  </r>
  <r>
    <x v="6"/>
    <x v="577"/>
    <x v="0"/>
  </r>
  <r>
    <x v="7"/>
    <x v="577"/>
    <x v="0"/>
  </r>
  <r>
    <x v="0"/>
    <x v="578"/>
    <x v="0"/>
  </r>
  <r>
    <x v="4"/>
    <x v="578"/>
    <x v="0"/>
  </r>
  <r>
    <x v="1"/>
    <x v="579"/>
    <x v="47"/>
  </r>
  <r>
    <x v="3"/>
    <x v="579"/>
    <x v="0"/>
  </r>
  <r>
    <x v="9"/>
    <x v="579"/>
    <x v="0"/>
  </r>
  <r>
    <x v="0"/>
    <x v="579"/>
    <x v="0"/>
  </r>
  <r>
    <x v="5"/>
    <x v="579"/>
    <x v="0"/>
  </r>
  <r>
    <x v="6"/>
    <x v="579"/>
    <x v="0"/>
  </r>
  <r>
    <x v="7"/>
    <x v="579"/>
    <x v="4"/>
  </r>
  <r>
    <x v="10"/>
    <x v="580"/>
    <x v="1"/>
  </r>
  <r>
    <x v="10"/>
    <x v="581"/>
    <x v="48"/>
  </r>
  <r>
    <x v="1"/>
    <x v="581"/>
    <x v="48"/>
  </r>
  <r>
    <x v="2"/>
    <x v="581"/>
    <x v="7"/>
  </r>
  <r>
    <x v="3"/>
    <x v="581"/>
    <x v="71"/>
  </r>
  <r>
    <x v="9"/>
    <x v="581"/>
    <x v="6"/>
  </r>
  <r>
    <x v="0"/>
    <x v="581"/>
    <x v="8"/>
  </r>
  <r>
    <x v="8"/>
    <x v="581"/>
    <x v="49"/>
  </r>
  <r>
    <x v="4"/>
    <x v="581"/>
    <x v="7"/>
  </r>
  <r>
    <x v="5"/>
    <x v="581"/>
    <x v="9"/>
  </r>
  <r>
    <x v="6"/>
    <x v="581"/>
    <x v="6"/>
  </r>
  <r>
    <x v="7"/>
    <x v="581"/>
    <x v="71"/>
  </r>
  <r>
    <x v="0"/>
    <x v="582"/>
    <x v="0"/>
  </r>
  <r>
    <x v="4"/>
    <x v="582"/>
    <x v="0"/>
  </r>
  <r>
    <x v="5"/>
    <x v="582"/>
    <x v="0"/>
  </r>
  <r>
    <x v="6"/>
    <x v="582"/>
    <x v="0"/>
  </r>
  <r>
    <x v="7"/>
    <x v="582"/>
    <x v="0"/>
  </r>
  <r>
    <x v="4"/>
    <x v="583"/>
    <x v="3"/>
  </r>
  <r>
    <x v="5"/>
    <x v="583"/>
    <x v="0"/>
  </r>
  <r>
    <x v="6"/>
    <x v="583"/>
    <x v="4"/>
  </r>
  <r>
    <x v="7"/>
    <x v="583"/>
    <x v="4"/>
  </r>
  <r>
    <x v="10"/>
    <x v="584"/>
    <x v="71"/>
  </r>
  <r>
    <x v="1"/>
    <x v="584"/>
    <x v="5"/>
  </r>
  <r>
    <x v="2"/>
    <x v="584"/>
    <x v="5"/>
  </r>
  <r>
    <x v="3"/>
    <x v="584"/>
    <x v="6"/>
  </r>
  <r>
    <x v="9"/>
    <x v="584"/>
    <x v="49"/>
  </r>
  <r>
    <x v="0"/>
    <x v="584"/>
    <x v="48"/>
  </r>
  <r>
    <x v="8"/>
    <x v="584"/>
    <x v="4"/>
  </r>
  <r>
    <x v="5"/>
    <x v="584"/>
    <x v="1"/>
  </r>
  <r>
    <x v="6"/>
    <x v="584"/>
    <x v="6"/>
  </r>
  <r>
    <x v="10"/>
    <x v="585"/>
    <x v="14"/>
  </r>
  <r>
    <x v="4"/>
    <x v="585"/>
    <x v="14"/>
  </r>
  <r>
    <x v="10"/>
    <x v="586"/>
    <x v="1"/>
  </r>
  <r>
    <x v="1"/>
    <x v="586"/>
    <x v="0"/>
  </r>
  <r>
    <x v="2"/>
    <x v="586"/>
    <x v="10"/>
  </r>
  <r>
    <x v="9"/>
    <x v="586"/>
    <x v="2"/>
  </r>
  <r>
    <x v="2"/>
    <x v="587"/>
    <x v="0"/>
  </r>
  <r>
    <x v="9"/>
    <x v="587"/>
    <x v="0"/>
  </r>
  <r>
    <x v="4"/>
    <x v="587"/>
    <x v="0"/>
  </r>
  <r>
    <x v="4"/>
    <x v="588"/>
    <x v="0"/>
  </r>
  <r>
    <x v="5"/>
    <x v="588"/>
    <x v="1"/>
  </r>
  <r>
    <x v="3"/>
    <x v="589"/>
    <x v="0"/>
  </r>
  <r>
    <x v="8"/>
    <x v="589"/>
    <x v="0"/>
  </r>
  <r>
    <x v="6"/>
    <x v="589"/>
    <x v="4"/>
  </r>
  <r>
    <x v="10"/>
    <x v="590"/>
    <x v="0"/>
  </r>
  <r>
    <x v="1"/>
    <x v="590"/>
    <x v="0"/>
  </r>
  <r>
    <x v="2"/>
    <x v="590"/>
    <x v="1"/>
  </r>
  <r>
    <x v="3"/>
    <x v="590"/>
    <x v="1"/>
  </r>
  <r>
    <x v="9"/>
    <x v="590"/>
    <x v="1"/>
  </r>
  <r>
    <x v="0"/>
    <x v="590"/>
    <x v="0"/>
  </r>
  <r>
    <x v="8"/>
    <x v="590"/>
    <x v="1"/>
  </r>
  <r>
    <x v="4"/>
    <x v="590"/>
    <x v="0"/>
  </r>
  <r>
    <x v="6"/>
    <x v="590"/>
    <x v="0"/>
  </r>
  <r>
    <x v="7"/>
    <x v="590"/>
    <x v="1"/>
  </r>
  <r>
    <x v="1"/>
    <x v="591"/>
    <x v="0"/>
  </r>
  <r>
    <x v="3"/>
    <x v="591"/>
    <x v="0"/>
  </r>
  <r>
    <x v="4"/>
    <x v="591"/>
    <x v="1"/>
  </r>
  <r>
    <x v="5"/>
    <x v="591"/>
    <x v="0"/>
  </r>
  <r>
    <x v="6"/>
    <x v="591"/>
    <x v="0"/>
  </r>
  <r>
    <x v="7"/>
    <x v="591"/>
    <x v="1"/>
  </r>
  <r>
    <x v="5"/>
    <x v="592"/>
    <x v="49"/>
  </r>
  <r>
    <x v="6"/>
    <x v="592"/>
    <x v="47"/>
  </r>
  <r>
    <x v="10"/>
    <x v="593"/>
    <x v="6"/>
  </r>
  <r>
    <x v="1"/>
    <x v="593"/>
    <x v="0"/>
  </r>
  <r>
    <x v="2"/>
    <x v="593"/>
    <x v="10"/>
  </r>
  <r>
    <x v="3"/>
    <x v="593"/>
    <x v="4"/>
  </r>
  <r>
    <x v="9"/>
    <x v="593"/>
    <x v="2"/>
  </r>
  <r>
    <x v="0"/>
    <x v="593"/>
    <x v="1"/>
  </r>
  <r>
    <x v="8"/>
    <x v="593"/>
    <x v="6"/>
  </r>
  <r>
    <x v="4"/>
    <x v="593"/>
    <x v="4"/>
  </r>
  <r>
    <x v="5"/>
    <x v="593"/>
    <x v="0"/>
  </r>
  <r>
    <x v="6"/>
    <x v="593"/>
    <x v="4"/>
  </r>
  <r>
    <x v="7"/>
    <x v="593"/>
    <x v="2"/>
  </r>
  <r>
    <x v="10"/>
    <x v="594"/>
    <x v="0"/>
  </r>
  <r>
    <x v="2"/>
    <x v="594"/>
    <x v="0"/>
  </r>
  <r>
    <x v="0"/>
    <x v="594"/>
    <x v="1"/>
  </r>
  <r>
    <x v="4"/>
    <x v="594"/>
    <x v="0"/>
  </r>
  <r>
    <x v="7"/>
    <x v="595"/>
    <x v="1"/>
  </r>
  <r>
    <x v="10"/>
    <x v="596"/>
    <x v="0"/>
  </r>
  <r>
    <x v="10"/>
    <x v="597"/>
    <x v="5"/>
  </r>
  <r>
    <x v="1"/>
    <x v="597"/>
    <x v="6"/>
  </r>
  <r>
    <x v="2"/>
    <x v="597"/>
    <x v="6"/>
  </r>
  <r>
    <x v="3"/>
    <x v="597"/>
    <x v="5"/>
  </r>
  <r>
    <x v="9"/>
    <x v="597"/>
    <x v="4"/>
  </r>
  <r>
    <x v="0"/>
    <x v="597"/>
    <x v="1"/>
  </r>
  <r>
    <x v="8"/>
    <x v="597"/>
    <x v="6"/>
  </r>
  <r>
    <x v="4"/>
    <x v="597"/>
    <x v="0"/>
  </r>
  <r>
    <x v="5"/>
    <x v="597"/>
    <x v="1"/>
  </r>
  <r>
    <x v="6"/>
    <x v="597"/>
    <x v="6"/>
  </r>
  <r>
    <x v="7"/>
    <x v="597"/>
    <x v="2"/>
  </r>
  <r>
    <x v="10"/>
    <x v="598"/>
    <x v="2"/>
  </r>
  <r>
    <x v="1"/>
    <x v="598"/>
    <x v="6"/>
  </r>
  <r>
    <x v="2"/>
    <x v="598"/>
    <x v="0"/>
  </r>
  <r>
    <x v="3"/>
    <x v="598"/>
    <x v="10"/>
  </r>
  <r>
    <x v="9"/>
    <x v="598"/>
    <x v="5"/>
  </r>
  <r>
    <x v="0"/>
    <x v="598"/>
    <x v="6"/>
  </r>
  <r>
    <x v="8"/>
    <x v="598"/>
    <x v="1"/>
  </r>
  <r>
    <x v="4"/>
    <x v="598"/>
    <x v="49"/>
  </r>
  <r>
    <x v="5"/>
    <x v="598"/>
    <x v="2"/>
  </r>
  <r>
    <x v="6"/>
    <x v="598"/>
    <x v="2"/>
  </r>
  <r>
    <x v="7"/>
    <x v="598"/>
    <x v="4"/>
  </r>
  <r>
    <x v="2"/>
    <x v="599"/>
    <x v="0"/>
  </r>
  <r>
    <x v="10"/>
    <x v="600"/>
    <x v="0"/>
  </r>
  <r>
    <x v="10"/>
    <x v="601"/>
    <x v="1"/>
  </r>
  <r>
    <x v="1"/>
    <x v="601"/>
    <x v="4"/>
  </r>
  <r>
    <x v="2"/>
    <x v="601"/>
    <x v="4"/>
  </r>
  <r>
    <x v="9"/>
    <x v="601"/>
    <x v="4"/>
  </r>
  <r>
    <x v="8"/>
    <x v="601"/>
    <x v="1"/>
  </r>
  <r>
    <x v="4"/>
    <x v="601"/>
    <x v="4"/>
  </r>
  <r>
    <x v="5"/>
    <x v="601"/>
    <x v="1"/>
  </r>
  <r>
    <x v="6"/>
    <x v="601"/>
    <x v="6"/>
  </r>
  <r>
    <x v="7"/>
    <x v="601"/>
    <x v="1"/>
  </r>
  <r>
    <x v="10"/>
    <x v="602"/>
    <x v="1"/>
  </r>
  <r>
    <x v="1"/>
    <x v="602"/>
    <x v="1"/>
  </r>
  <r>
    <x v="3"/>
    <x v="602"/>
    <x v="0"/>
  </r>
  <r>
    <x v="9"/>
    <x v="602"/>
    <x v="4"/>
  </r>
  <r>
    <x v="0"/>
    <x v="602"/>
    <x v="1"/>
  </r>
  <r>
    <x v="8"/>
    <x v="602"/>
    <x v="0"/>
  </r>
  <r>
    <x v="5"/>
    <x v="602"/>
    <x v="0"/>
  </r>
  <r>
    <x v="6"/>
    <x v="602"/>
    <x v="1"/>
  </r>
  <r>
    <x v="10"/>
    <x v="603"/>
    <x v="65"/>
  </r>
  <r>
    <x v="1"/>
    <x v="603"/>
    <x v="2"/>
  </r>
  <r>
    <x v="3"/>
    <x v="603"/>
    <x v="18"/>
  </r>
  <r>
    <x v="9"/>
    <x v="603"/>
    <x v="105"/>
  </r>
  <r>
    <x v="0"/>
    <x v="603"/>
    <x v="2"/>
  </r>
  <r>
    <x v="8"/>
    <x v="603"/>
    <x v="1"/>
  </r>
  <r>
    <x v="4"/>
    <x v="603"/>
    <x v="18"/>
  </r>
  <r>
    <x v="5"/>
    <x v="603"/>
    <x v="48"/>
  </r>
  <r>
    <x v="6"/>
    <x v="603"/>
    <x v="7"/>
  </r>
  <r>
    <x v="7"/>
    <x v="603"/>
    <x v="6"/>
  </r>
  <r>
    <x v="10"/>
    <x v="604"/>
    <x v="0"/>
  </r>
  <r>
    <x v="2"/>
    <x v="604"/>
    <x v="0"/>
  </r>
  <r>
    <x v="3"/>
    <x v="604"/>
    <x v="4"/>
  </r>
  <r>
    <x v="8"/>
    <x v="604"/>
    <x v="0"/>
  </r>
  <r>
    <x v="4"/>
    <x v="604"/>
    <x v="0"/>
  </r>
  <r>
    <x v="6"/>
    <x v="604"/>
    <x v="4"/>
  </r>
  <r>
    <x v="9"/>
    <x v="605"/>
    <x v="1"/>
  </r>
  <r>
    <x v="0"/>
    <x v="605"/>
    <x v="0"/>
  </r>
  <r>
    <x v="6"/>
    <x v="605"/>
    <x v="1"/>
  </r>
  <r>
    <x v="1"/>
    <x v="606"/>
    <x v="0"/>
  </r>
  <r>
    <x v="2"/>
    <x v="606"/>
    <x v="0"/>
  </r>
  <r>
    <x v="8"/>
    <x v="606"/>
    <x v="1"/>
  </r>
  <r>
    <x v="4"/>
    <x v="606"/>
    <x v="4"/>
  </r>
  <r>
    <x v="7"/>
    <x v="606"/>
    <x v="1"/>
  </r>
  <r>
    <x v="0"/>
    <x v="607"/>
    <x v="0"/>
  </r>
  <r>
    <x v="8"/>
    <x v="607"/>
    <x v="0"/>
  </r>
  <r>
    <x v="1"/>
    <x v="608"/>
    <x v="0"/>
  </r>
  <r>
    <x v="2"/>
    <x v="608"/>
    <x v="1"/>
  </r>
  <r>
    <x v="3"/>
    <x v="608"/>
    <x v="0"/>
  </r>
  <r>
    <x v="9"/>
    <x v="608"/>
    <x v="0"/>
  </r>
  <r>
    <x v="6"/>
    <x v="608"/>
    <x v="0"/>
  </r>
  <r>
    <x v="10"/>
    <x v="609"/>
    <x v="14"/>
  </r>
  <r>
    <x v="1"/>
    <x v="610"/>
    <x v="0"/>
  </r>
  <r>
    <x v="1"/>
    <x v="611"/>
    <x v="0"/>
  </r>
  <r>
    <x v="3"/>
    <x v="611"/>
    <x v="0"/>
  </r>
  <r>
    <x v="2"/>
    <x v="612"/>
    <x v="1"/>
  </r>
  <r>
    <x v="4"/>
    <x v="612"/>
    <x v="0"/>
  </r>
  <r>
    <x v="6"/>
    <x v="612"/>
    <x v="0"/>
  </r>
  <r>
    <x v="10"/>
    <x v="613"/>
    <x v="5"/>
  </r>
  <r>
    <x v="1"/>
    <x v="613"/>
    <x v="71"/>
  </r>
  <r>
    <x v="2"/>
    <x v="613"/>
    <x v="1"/>
  </r>
  <r>
    <x v="3"/>
    <x v="613"/>
    <x v="4"/>
  </r>
  <r>
    <x v="9"/>
    <x v="613"/>
    <x v="1"/>
  </r>
  <r>
    <x v="0"/>
    <x v="613"/>
    <x v="5"/>
  </r>
  <r>
    <x v="8"/>
    <x v="613"/>
    <x v="5"/>
  </r>
  <r>
    <x v="4"/>
    <x v="613"/>
    <x v="1"/>
  </r>
  <r>
    <x v="5"/>
    <x v="613"/>
    <x v="49"/>
  </r>
  <r>
    <x v="6"/>
    <x v="613"/>
    <x v="7"/>
  </r>
  <r>
    <x v="7"/>
    <x v="613"/>
    <x v="49"/>
  </r>
  <r>
    <x v="10"/>
    <x v="614"/>
    <x v="0"/>
  </r>
  <r>
    <x v="3"/>
    <x v="615"/>
    <x v="0"/>
  </r>
  <r>
    <x v="8"/>
    <x v="615"/>
    <x v="0"/>
  </r>
  <r>
    <x v="10"/>
    <x v="616"/>
    <x v="49"/>
  </r>
  <r>
    <x v="1"/>
    <x v="616"/>
    <x v="49"/>
  </r>
  <r>
    <x v="2"/>
    <x v="616"/>
    <x v="10"/>
  </r>
  <r>
    <x v="3"/>
    <x v="616"/>
    <x v="6"/>
  </r>
  <r>
    <x v="9"/>
    <x v="616"/>
    <x v="71"/>
  </r>
  <r>
    <x v="0"/>
    <x v="616"/>
    <x v="10"/>
  </r>
  <r>
    <x v="8"/>
    <x v="616"/>
    <x v="2"/>
  </r>
  <r>
    <x v="4"/>
    <x v="616"/>
    <x v="10"/>
  </r>
  <r>
    <x v="5"/>
    <x v="616"/>
    <x v="0"/>
  </r>
  <r>
    <x v="7"/>
    <x v="616"/>
    <x v="2"/>
  </r>
  <r>
    <x v="5"/>
    <x v="617"/>
    <x v="0"/>
  </r>
  <r>
    <x v="6"/>
    <x v="617"/>
    <x v="6"/>
  </r>
  <r>
    <x v="7"/>
    <x v="617"/>
    <x v="4"/>
  </r>
  <r>
    <x v="10"/>
    <x v="618"/>
    <x v="65"/>
  </r>
  <r>
    <x v="1"/>
    <x v="618"/>
    <x v="10"/>
  </r>
  <r>
    <x v="2"/>
    <x v="618"/>
    <x v="18"/>
  </r>
  <r>
    <x v="3"/>
    <x v="618"/>
    <x v="10"/>
  </r>
  <r>
    <x v="9"/>
    <x v="618"/>
    <x v="49"/>
  </r>
  <r>
    <x v="0"/>
    <x v="618"/>
    <x v="18"/>
  </r>
  <r>
    <x v="8"/>
    <x v="618"/>
    <x v="10"/>
  </r>
  <r>
    <x v="4"/>
    <x v="618"/>
    <x v="48"/>
  </r>
  <r>
    <x v="5"/>
    <x v="618"/>
    <x v="15"/>
  </r>
  <r>
    <x v="6"/>
    <x v="618"/>
    <x v="7"/>
  </r>
  <r>
    <x v="7"/>
    <x v="618"/>
    <x v="65"/>
  </r>
  <r>
    <x v="10"/>
    <x v="619"/>
    <x v="1"/>
  </r>
  <r>
    <x v="2"/>
    <x v="619"/>
    <x v="1"/>
  </r>
  <r>
    <x v="9"/>
    <x v="619"/>
    <x v="1"/>
  </r>
  <r>
    <x v="0"/>
    <x v="619"/>
    <x v="0"/>
  </r>
  <r>
    <x v="8"/>
    <x v="619"/>
    <x v="1"/>
  </r>
  <r>
    <x v="6"/>
    <x v="619"/>
    <x v="1"/>
  </r>
  <r>
    <x v="0"/>
    <x v="620"/>
    <x v="0"/>
  </r>
  <r>
    <x v="10"/>
    <x v="621"/>
    <x v="1"/>
  </r>
  <r>
    <x v="1"/>
    <x v="621"/>
    <x v="1"/>
  </r>
  <r>
    <x v="3"/>
    <x v="621"/>
    <x v="0"/>
  </r>
  <r>
    <x v="9"/>
    <x v="621"/>
    <x v="0"/>
  </r>
  <r>
    <x v="0"/>
    <x v="621"/>
    <x v="1"/>
  </r>
  <r>
    <x v="4"/>
    <x v="621"/>
    <x v="1"/>
  </r>
  <r>
    <x v="5"/>
    <x v="621"/>
    <x v="3"/>
  </r>
  <r>
    <x v="2"/>
    <x v="622"/>
    <x v="0"/>
  </r>
  <r>
    <x v="2"/>
    <x v="623"/>
    <x v="0"/>
  </r>
  <r>
    <x v="10"/>
    <x v="624"/>
    <x v="0"/>
  </r>
  <r>
    <x v="1"/>
    <x v="624"/>
    <x v="0"/>
  </r>
  <r>
    <x v="2"/>
    <x v="624"/>
    <x v="0"/>
  </r>
  <r>
    <x v="9"/>
    <x v="624"/>
    <x v="1"/>
  </r>
  <r>
    <x v="0"/>
    <x v="624"/>
    <x v="1"/>
  </r>
  <r>
    <x v="8"/>
    <x v="624"/>
    <x v="0"/>
  </r>
  <r>
    <x v="5"/>
    <x v="624"/>
    <x v="4"/>
  </r>
  <r>
    <x v="6"/>
    <x v="624"/>
    <x v="4"/>
  </r>
  <r>
    <x v="7"/>
    <x v="624"/>
    <x v="7"/>
  </r>
  <r>
    <x v="2"/>
    <x v="625"/>
    <x v="0"/>
  </r>
  <r>
    <x v="8"/>
    <x v="626"/>
    <x v="0"/>
  </r>
  <r>
    <x v="3"/>
    <x v="627"/>
    <x v="1"/>
  </r>
  <r>
    <x v="0"/>
    <x v="627"/>
    <x v="1"/>
  </r>
  <r>
    <x v="4"/>
    <x v="627"/>
    <x v="0"/>
  </r>
  <r>
    <x v="7"/>
    <x v="627"/>
    <x v="0"/>
  </r>
  <r>
    <x v="8"/>
    <x v="628"/>
    <x v="0"/>
  </r>
  <r>
    <x v="1"/>
    <x v="629"/>
    <x v="3"/>
  </r>
  <r>
    <x v="0"/>
    <x v="629"/>
    <x v="0"/>
  </r>
  <r>
    <x v="5"/>
    <x v="629"/>
    <x v="1"/>
  </r>
  <r>
    <x v="6"/>
    <x v="629"/>
    <x v="0"/>
  </r>
  <r>
    <x v="7"/>
    <x v="629"/>
    <x v="4"/>
  </r>
  <r>
    <x v="10"/>
    <x v="630"/>
    <x v="47"/>
  </r>
  <r>
    <x v="1"/>
    <x v="630"/>
    <x v="9"/>
  </r>
  <r>
    <x v="2"/>
    <x v="630"/>
    <x v="6"/>
  </r>
  <r>
    <x v="3"/>
    <x v="630"/>
    <x v="4"/>
  </r>
  <r>
    <x v="9"/>
    <x v="630"/>
    <x v="6"/>
  </r>
  <r>
    <x v="0"/>
    <x v="630"/>
    <x v="10"/>
  </r>
  <r>
    <x v="8"/>
    <x v="630"/>
    <x v="2"/>
  </r>
  <r>
    <x v="4"/>
    <x v="630"/>
    <x v="1"/>
  </r>
  <r>
    <x v="5"/>
    <x v="630"/>
    <x v="1"/>
  </r>
  <r>
    <x v="6"/>
    <x v="630"/>
    <x v="7"/>
  </r>
  <r>
    <x v="7"/>
    <x v="630"/>
    <x v="6"/>
  </r>
  <r>
    <x v="1"/>
    <x v="631"/>
    <x v="0"/>
  </r>
  <r>
    <x v="9"/>
    <x v="631"/>
    <x v="0"/>
  </r>
  <r>
    <x v="8"/>
    <x v="632"/>
    <x v="0"/>
  </r>
  <r>
    <x v="5"/>
    <x v="633"/>
    <x v="0"/>
  </r>
  <r>
    <x v="6"/>
    <x v="633"/>
    <x v="1"/>
  </r>
  <r>
    <x v="7"/>
    <x v="633"/>
    <x v="1"/>
  </r>
  <r>
    <x v="1"/>
    <x v="634"/>
    <x v="4"/>
  </r>
  <r>
    <x v="9"/>
    <x v="634"/>
    <x v="2"/>
  </r>
  <r>
    <x v="8"/>
    <x v="634"/>
    <x v="1"/>
  </r>
  <r>
    <x v="10"/>
    <x v="635"/>
    <x v="0"/>
  </r>
  <r>
    <x v="1"/>
    <x v="635"/>
    <x v="0"/>
  </r>
  <r>
    <x v="3"/>
    <x v="636"/>
    <x v="0"/>
  </r>
  <r>
    <x v="8"/>
    <x v="637"/>
    <x v="0"/>
  </r>
  <r>
    <x v="1"/>
    <x v="638"/>
    <x v="0"/>
  </r>
  <r>
    <x v="2"/>
    <x v="639"/>
    <x v="0"/>
  </r>
  <r>
    <x v="8"/>
    <x v="639"/>
    <x v="0"/>
  </r>
  <r>
    <x v="4"/>
    <x v="639"/>
    <x v="0"/>
  </r>
  <r>
    <x v="2"/>
    <x v="640"/>
    <x v="0"/>
  </r>
  <r>
    <x v="9"/>
    <x v="640"/>
    <x v="0"/>
  </r>
  <r>
    <x v="0"/>
    <x v="641"/>
    <x v="0"/>
  </r>
  <r>
    <x v="6"/>
    <x v="641"/>
    <x v="0"/>
  </r>
  <r>
    <x v="7"/>
    <x v="641"/>
    <x v="4"/>
  </r>
  <r>
    <x v="10"/>
    <x v="642"/>
    <x v="1"/>
  </r>
  <r>
    <x v="7"/>
    <x v="642"/>
    <x v="0"/>
  </r>
  <r>
    <x v="10"/>
    <x v="643"/>
    <x v="4"/>
  </r>
  <r>
    <x v="1"/>
    <x v="643"/>
    <x v="2"/>
  </r>
  <r>
    <x v="2"/>
    <x v="643"/>
    <x v="6"/>
  </r>
  <r>
    <x v="3"/>
    <x v="643"/>
    <x v="0"/>
  </r>
  <r>
    <x v="9"/>
    <x v="643"/>
    <x v="6"/>
  </r>
  <r>
    <x v="0"/>
    <x v="643"/>
    <x v="0"/>
  </r>
  <r>
    <x v="8"/>
    <x v="643"/>
    <x v="1"/>
  </r>
  <r>
    <x v="4"/>
    <x v="643"/>
    <x v="1"/>
  </r>
  <r>
    <x v="5"/>
    <x v="643"/>
    <x v="6"/>
  </r>
  <r>
    <x v="6"/>
    <x v="643"/>
    <x v="6"/>
  </r>
  <r>
    <x v="7"/>
    <x v="643"/>
    <x v="6"/>
  </r>
  <r>
    <x v="10"/>
    <x v="644"/>
    <x v="69"/>
  </r>
  <r>
    <x v="1"/>
    <x v="644"/>
    <x v="15"/>
  </r>
  <r>
    <x v="2"/>
    <x v="644"/>
    <x v="9"/>
  </r>
  <r>
    <x v="3"/>
    <x v="644"/>
    <x v="65"/>
  </r>
  <r>
    <x v="9"/>
    <x v="644"/>
    <x v="12"/>
  </r>
  <r>
    <x v="0"/>
    <x v="644"/>
    <x v="51"/>
  </r>
  <r>
    <x v="8"/>
    <x v="644"/>
    <x v="77"/>
  </r>
  <r>
    <x v="4"/>
    <x v="644"/>
    <x v="13"/>
  </r>
  <r>
    <x v="5"/>
    <x v="644"/>
    <x v="13"/>
  </r>
  <r>
    <x v="6"/>
    <x v="644"/>
    <x v="65"/>
  </r>
  <r>
    <x v="7"/>
    <x v="644"/>
    <x v="65"/>
  </r>
  <r>
    <x v="10"/>
    <x v="645"/>
    <x v="17"/>
  </r>
  <r>
    <x v="1"/>
    <x v="645"/>
    <x v="95"/>
  </r>
  <r>
    <x v="2"/>
    <x v="645"/>
    <x v="95"/>
  </r>
  <r>
    <x v="3"/>
    <x v="645"/>
    <x v="69"/>
  </r>
  <r>
    <x v="9"/>
    <x v="645"/>
    <x v="51"/>
  </r>
  <r>
    <x v="0"/>
    <x v="645"/>
    <x v="65"/>
  </r>
  <r>
    <x v="8"/>
    <x v="645"/>
    <x v="15"/>
  </r>
  <r>
    <x v="4"/>
    <x v="645"/>
    <x v="12"/>
  </r>
  <r>
    <x v="5"/>
    <x v="645"/>
    <x v="8"/>
  </r>
  <r>
    <x v="6"/>
    <x v="645"/>
    <x v="15"/>
  </r>
  <r>
    <x v="7"/>
    <x v="645"/>
    <x v="8"/>
  </r>
  <r>
    <x v="6"/>
    <x v="646"/>
    <x v="0"/>
  </r>
  <r>
    <x v="0"/>
    <x v="647"/>
    <x v="0"/>
  </r>
  <r>
    <x v="2"/>
    <x v="648"/>
    <x v="1"/>
  </r>
  <r>
    <x v="10"/>
    <x v="649"/>
    <x v="0"/>
  </r>
  <r>
    <x v="1"/>
    <x v="649"/>
    <x v="0"/>
  </r>
  <r>
    <x v="2"/>
    <x v="649"/>
    <x v="2"/>
  </r>
  <r>
    <x v="9"/>
    <x v="649"/>
    <x v="4"/>
  </r>
  <r>
    <x v="0"/>
    <x v="649"/>
    <x v="4"/>
  </r>
  <r>
    <x v="8"/>
    <x v="649"/>
    <x v="10"/>
  </r>
  <r>
    <x v="4"/>
    <x v="649"/>
    <x v="4"/>
  </r>
  <r>
    <x v="5"/>
    <x v="649"/>
    <x v="2"/>
  </r>
  <r>
    <x v="6"/>
    <x v="649"/>
    <x v="1"/>
  </r>
  <r>
    <x v="10"/>
    <x v="650"/>
    <x v="0"/>
  </r>
  <r>
    <x v="4"/>
    <x v="650"/>
    <x v="0"/>
  </r>
  <r>
    <x v="10"/>
    <x v="651"/>
    <x v="1"/>
  </r>
  <r>
    <x v="1"/>
    <x v="651"/>
    <x v="0"/>
  </r>
  <r>
    <x v="2"/>
    <x v="651"/>
    <x v="2"/>
  </r>
  <r>
    <x v="3"/>
    <x v="651"/>
    <x v="4"/>
  </r>
  <r>
    <x v="9"/>
    <x v="651"/>
    <x v="1"/>
  </r>
  <r>
    <x v="8"/>
    <x v="651"/>
    <x v="4"/>
  </r>
  <r>
    <x v="4"/>
    <x v="651"/>
    <x v="18"/>
  </r>
  <r>
    <x v="5"/>
    <x v="651"/>
    <x v="0"/>
  </r>
  <r>
    <x v="6"/>
    <x v="651"/>
    <x v="2"/>
  </r>
  <r>
    <x v="7"/>
    <x v="651"/>
    <x v="6"/>
  </r>
  <r>
    <x v="0"/>
    <x v="652"/>
    <x v="0"/>
  </r>
  <r>
    <x v="7"/>
    <x v="653"/>
    <x v="0"/>
  </r>
  <r>
    <x v="10"/>
    <x v="654"/>
    <x v="6"/>
  </r>
  <r>
    <x v="8"/>
    <x v="654"/>
    <x v="4"/>
  </r>
  <r>
    <x v="4"/>
    <x v="654"/>
    <x v="0"/>
  </r>
  <r>
    <x v="5"/>
    <x v="654"/>
    <x v="5"/>
  </r>
  <r>
    <x v="6"/>
    <x v="654"/>
    <x v="2"/>
  </r>
  <r>
    <x v="7"/>
    <x v="654"/>
    <x v="2"/>
  </r>
  <r>
    <x v="10"/>
    <x v="655"/>
    <x v="1"/>
  </r>
  <r>
    <x v="1"/>
    <x v="655"/>
    <x v="1"/>
  </r>
  <r>
    <x v="3"/>
    <x v="655"/>
    <x v="1"/>
  </r>
  <r>
    <x v="5"/>
    <x v="655"/>
    <x v="0"/>
  </r>
  <r>
    <x v="6"/>
    <x v="655"/>
    <x v="0"/>
  </r>
  <r>
    <x v="7"/>
    <x v="655"/>
    <x v="0"/>
  </r>
  <r>
    <x v="6"/>
    <x v="656"/>
    <x v="0"/>
  </r>
  <r>
    <x v="2"/>
    <x v="657"/>
    <x v="1"/>
  </r>
  <r>
    <x v="0"/>
    <x v="657"/>
    <x v="0"/>
  </r>
  <r>
    <x v="10"/>
    <x v="658"/>
    <x v="1"/>
  </r>
  <r>
    <x v="1"/>
    <x v="658"/>
    <x v="54"/>
  </r>
  <r>
    <x v="2"/>
    <x v="658"/>
    <x v="13"/>
  </r>
  <r>
    <x v="9"/>
    <x v="658"/>
    <x v="1"/>
  </r>
  <r>
    <x v="0"/>
    <x v="658"/>
    <x v="47"/>
  </r>
  <r>
    <x v="8"/>
    <x v="658"/>
    <x v="65"/>
  </r>
  <r>
    <x v="5"/>
    <x v="658"/>
    <x v="4"/>
  </r>
  <r>
    <x v="7"/>
    <x v="658"/>
    <x v="11"/>
  </r>
  <r>
    <x v="10"/>
    <x v="659"/>
    <x v="127"/>
  </r>
  <r>
    <x v="1"/>
    <x v="659"/>
    <x v="128"/>
  </r>
  <r>
    <x v="2"/>
    <x v="659"/>
    <x v="66"/>
  </r>
  <r>
    <x v="3"/>
    <x v="659"/>
    <x v="46"/>
  </r>
  <r>
    <x v="9"/>
    <x v="659"/>
    <x v="129"/>
  </r>
  <r>
    <x v="0"/>
    <x v="659"/>
    <x v="86"/>
  </r>
  <r>
    <x v="8"/>
    <x v="659"/>
    <x v="20"/>
  </r>
  <r>
    <x v="4"/>
    <x v="659"/>
    <x v="72"/>
  </r>
  <r>
    <x v="5"/>
    <x v="659"/>
    <x v="46"/>
  </r>
  <r>
    <x v="6"/>
    <x v="659"/>
    <x v="130"/>
  </r>
  <r>
    <x v="7"/>
    <x v="659"/>
    <x v="131"/>
  </r>
  <r>
    <x v="1"/>
    <x v="660"/>
    <x v="0"/>
  </r>
  <r>
    <x v="3"/>
    <x v="660"/>
    <x v="0"/>
  </r>
  <r>
    <x v="1"/>
    <x v="661"/>
    <x v="0"/>
  </r>
  <r>
    <x v="4"/>
    <x v="661"/>
    <x v="0"/>
  </r>
  <r>
    <x v="10"/>
    <x v="662"/>
    <x v="5"/>
  </r>
  <r>
    <x v="1"/>
    <x v="662"/>
    <x v="10"/>
  </r>
  <r>
    <x v="2"/>
    <x v="662"/>
    <x v="4"/>
  </r>
  <r>
    <x v="3"/>
    <x v="662"/>
    <x v="4"/>
  </r>
  <r>
    <x v="9"/>
    <x v="662"/>
    <x v="7"/>
  </r>
  <r>
    <x v="0"/>
    <x v="662"/>
    <x v="2"/>
  </r>
  <r>
    <x v="8"/>
    <x v="662"/>
    <x v="49"/>
  </r>
  <r>
    <x v="4"/>
    <x v="662"/>
    <x v="6"/>
  </r>
  <r>
    <x v="5"/>
    <x v="662"/>
    <x v="2"/>
  </r>
  <r>
    <x v="6"/>
    <x v="662"/>
    <x v="5"/>
  </r>
  <r>
    <x v="7"/>
    <x v="662"/>
    <x v="1"/>
  </r>
  <r>
    <x v="6"/>
    <x v="663"/>
    <x v="0"/>
  </r>
  <r>
    <x v="7"/>
    <x v="663"/>
    <x v="0"/>
  </r>
  <r>
    <x v="5"/>
    <x v="664"/>
    <x v="0"/>
  </r>
  <r>
    <x v="10"/>
    <x v="665"/>
    <x v="0"/>
  </r>
  <r>
    <x v="1"/>
    <x v="665"/>
    <x v="0"/>
  </r>
  <r>
    <x v="3"/>
    <x v="665"/>
    <x v="1"/>
  </r>
  <r>
    <x v="9"/>
    <x v="665"/>
    <x v="1"/>
  </r>
  <r>
    <x v="0"/>
    <x v="665"/>
    <x v="1"/>
  </r>
  <r>
    <x v="8"/>
    <x v="665"/>
    <x v="0"/>
  </r>
  <r>
    <x v="7"/>
    <x v="665"/>
    <x v="0"/>
  </r>
  <r>
    <x v="10"/>
    <x v="666"/>
    <x v="0"/>
  </r>
  <r>
    <x v="2"/>
    <x v="666"/>
    <x v="0"/>
  </r>
  <r>
    <x v="3"/>
    <x v="666"/>
    <x v="0"/>
  </r>
  <r>
    <x v="0"/>
    <x v="666"/>
    <x v="1"/>
  </r>
  <r>
    <x v="8"/>
    <x v="666"/>
    <x v="0"/>
  </r>
  <r>
    <x v="8"/>
    <x v="667"/>
    <x v="0"/>
  </r>
  <r>
    <x v="4"/>
    <x v="667"/>
    <x v="3"/>
  </r>
  <r>
    <x v="7"/>
    <x v="667"/>
    <x v="0"/>
  </r>
  <r>
    <x v="10"/>
    <x v="668"/>
    <x v="0"/>
  </r>
  <r>
    <x v="1"/>
    <x v="668"/>
    <x v="0"/>
  </r>
  <r>
    <x v="3"/>
    <x v="668"/>
    <x v="1"/>
  </r>
  <r>
    <x v="4"/>
    <x v="668"/>
    <x v="0"/>
  </r>
  <r>
    <x v="5"/>
    <x v="668"/>
    <x v="0"/>
  </r>
  <r>
    <x v="6"/>
    <x v="668"/>
    <x v="4"/>
  </r>
  <r>
    <x v="3"/>
    <x v="669"/>
    <x v="1"/>
  </r>
  <r>
    <x v="9"/>
    <x v="669"/>
    <x v="0"/>
  </r>
  <r>
    <x v="0"/>
    <x v="669"/>
    <x v="1"/>
  </r>
  <r>
    <x v="10"/>
    <x v="670"/>
    <x v="6"/>
  </r>
  <r>
    <x v="2"/>
    <x v="670"/>
    <x v="10"/>
  </r>
  <r>
    <x v="9"/>
    <x v="670"/>
    <x v="7"/>
  </r>
  <r>
    <x v="0"/>
    <x v="670"/>
    <x v="4"/>
  </r>
  <r>
    <x v="8"/>
    <x v="670"/>
    <x v="1"/>
  </r>
  <r>
    <x v="4"/>
    <x v="670"/>
    <x v="2"/>
  </r>
  <r>
    <x v="5"/>
    <x v="670"/>
    <x v="7"/>
  </r>
  <r>
    <x v="6"/>
    <x v="670"/>
    <x v="4"/>
  </r>
  <r>
    <x v="7"/>
    <x v="670"/>
    <x v="0"/>
  </r>
  <r>
    <x v="4"/>
    <x v="671"/>
    <x v="0"/>
  </r>
  <r>
    <x v="9"/>
    <x v="672"/>
    <x v="0"/>
  </r>
  <r>
    <x v="6"/>
    <x v="673"/>
    <x v="0"/>
  </r>
  <r>
    <x v="10"/>
    <x v="674"/>
    <x v="10"/>
  </r>
  <r>
    <x v="2"/>
    <x v="674"/>
    <x v="1"/>
  </r>
  <r>
    <x v="0"/>
    <x v="674"/>
    <x v="1"/>
  </r>
  <r>
    <x v="8"/>
    <x v="674"/>
    <x v="0"/>
  </r>
  <r>
    <x v="7"/>
    <x v="674"/>
    <x v="1"/>
  </r>
  <r>
    <x v="0"/>
    <x v="675"/>
    <x v="0"/>
  </r>
  <r>
    <x v="8"/>
    <x v="675"/>
    <x v="0"/>
  </r>
  <r>
    <x v="1"/>
    <x v="676"/>
    <x v="49"/>
  </r>
  <r>
    <x v="2"/>
    <x v="676"/>
    <x v="6"/>
  </r>
  <r>
    <x v="3"/>
    <x v="676"/>
    <x v="4"/>
  </r>
  <r>
    <x v="9"/>
    <x v="676"/>
    <x v="2"/>
  </r>
  <r>
    <x v="0"/>
    <x v="676"/>
    <x v="4"/>
  </r>
  <r>
    <x v="8"/>
    <x v="676"/>
    <x v="0"/>
  </r>
  <r>
    <x v="4"/>
    <x v="676"/>
    <x v="4"/>
  </r>
  <r>
    <x v="5"/>
    <x v="676"/>
    <x v="7"/>
  </r>
  <r>
    <x v="6"/>
    <x v="676"/>
    <x v="2"/>
  </r>
  <r>
    <x v="7"/>
    <x v="676"/>
    <x v="6"/>
  </r>
  <r>
    <x v="10"/>
    <x v="677"/>
    <x v="71"/>
  </r>
  <r>
    <x v="1"/>
    <x v="677"/>
    <x v="15"/>
  </r>
  <r>
    <x v="2"/>
    <x v="677"/>
    <x v="7"/>
  </r>
  <r>
    <x v="3"/>
    <x v="677"/>
    <x v="4"/>
  </r>
  <r>
    <x v="9"/>
    <x v="677"/>
    <x v="11"/>
  </r>
  <r>
    <x v="0"/>
    <x v="677"/>
    <x v="6"/>
  </r>
  <r>
    <x v="8"/>
    <x v="677"/>
    <x v="2"/>
  </r>
  <r>
    <x v="6"/>
    <x v="677"/>
    <x v="47"/>
  </r>
  <r>
    <x v="7"/>
    <x v="677"/>
    <x v="2"/>
  </r>
  <r>
    <x v="10"/>
    <x v="678"/>
    <x v="48"/>
  </r>
  <r>
    <x v="1"/>
    <x v="678"/>
    <x v="4"/>
  </r>
  <r>
    <x v="2"/>
    <x v="678"/>
    <x v="6"/>
  </r>
  <r>
    <x v="3"/>
    <x v="678"/>
    <x v="2"/>
  </r>
  <r>
    <x v="9"/>
    <x v="678"/>
    <x v="5"/>
  </r>
  <r>
    <x v="0"/>
    <x v="678"/>
    <x v="7"/>
  </r>
  <r>
    <x v="8"/>
    <x v="678"/>
    <x v="18"/>
  </r>
  <r>
    <x v="4"/>
    <x v="678"/>
    <x v="6"/>
  </r>
  <r>
    <x v="5"/>
    <x v="678"/>
    <x v="6"/>
  </r>
  <r>
    <x v="6"/>
    <x v="678"/>
    <x v="0"/>
  </r>
  <r>
    <x v="7"/>
    <x v="678"/>
    <x v="6"/>
  </r>
  <r>
    <x v="10"/>
    <x v="679"/>
    <x v="5"/>
  </r>
  <r>
    <x v="1"/>
    <x v="679"/>
    <x v="9"/>
  </r>
  <r>
    <x v="2"/>
    <x v="679"/>
    <x v="7"/>
  </r>
  <r>
    <x v="3"/>
    <x v="679"/>
    <x v="4"/>
  </r>
  <r>
    <x v="9"/>
    <x v="679"/>
    <x v="4"/>
  </r>
  <r>
    <x v="0"/>
    <x v="679"/>
    <x v="10"/>
  </r>
  <r>
    <x v="8"/>
    <x v="679"/>
    <x v="4"/>
  </r>
  <r>
    <x v="4"/>
    <x v="679"/>
    <x v="2"/>
  </r>
  <r>
    <x v="5"/>
    <x v="679"/>
    <x v="0"/>
  </r>
  <r>
    <x v="6"/>
    <x v="679"/>
    <x v="5"/>
  </r>
  <r>
    <x v="7"/>
    <x v="679"/>
    <x v="6"/>
  </r>
  <r>
    <x v="10"/>
    <x v="680"/>
    <x v="10"/>
  </r>
  <r>
    <x v="1"/>
    <x v="680"/>
    <x v="2"/>
  </r>
  <r>
    <x v="2"/>
    <x v="680"/>
    <x v="5"/>
  </r>
  <r>
    <x v="3"/>
    <x v="680"/>
    <x v="6"/>
  </r>
  <r>
    <x v="9"/>
    <x v="680"/>
    <x v="1"/>
  </r>
  <r>
    <x v="0"/>
    <x v="680"/>
    <x v="2"/>
  </r>
  <r>
    <x v="8"/>
    <x v="680"/>
    <x v="4"/>
  </r>
  <r>
    <x v="4"/>
    <x v="680"/>
    <x v="0"/>
  </r>
  <r>
    <x v="10"/>
    <x v="681"/>
    <x v="4"/>
  </r>
  <r>
    <x v="1"/>
    <x v="681"/>
    <x v="0"/>
  </r>
  <r>
    <x v="3"/>
    <x v="681"/>
    <x v="4"/>
  </r>
  <r>
    <x v="9"/>
    <x v="681"/>
    <x v="6"/>
  </r>
  <r>
    <x v="0"/>
    <x v="681"/>
    <x v="0"/>
  </r>
  <r>
    <x v="8"/>
    <x v="681"/>
    <x v="4"/>
  </r>
  <r>
    <x v="4"/>
    <x v="681"/>
    <x v="0"/>
  </r>
  <r>
    <x v="5"/>
    <x v="681"/>
    <x v="2"/>
  </r>
  <r>
    <x v="6"/>
    <x v="681"/>
    <x v="6"/>
  </r>
  <r>
    <x v="7"/>
    <x v="681"/>
    <x v="0"/>
  </r>
  <r>
    <x v="10"/>
    <x v="682"/>
    <x v="0"/>
  </r>
  <r>
    <x v="1"/>
    <x v="682"/>
    <x v="0"/>
  </r>
  <r>
    <x v="2"/>
    <x v="682"/>
    <x v="0"/>
  </r>
  <r>
    <x v="2"/>
    <x v="683"/>
    <x v="7"/>
  </r>
  <r>
    <x v="0"/>
    <x v="683"/>
    <x v="10"/>
  </r>
  <r>
    <x v="8"/>
    <x v="683"/>
    <x v="10"/>
  </r>
  <r>
    <x v="6"/>
    <x v="683"/>
    <x v="5"/>
  </r>
  <r>
    <x v="7"/>
    <x v="683"/>
    <x v="6"/>
  </r>
  <r>
    <x v="9"/>
    <x v="684"/>
    <x v="0"/>
  </r>
  <r>
    <x v="0"/>
    <x v="684"/>
    <x v="0"/>
  </r>
  <r>
    <x v="8"/>
    <x v="684"/>
    <x v="0"/>
  </r>
  <r>
    <x v="6"/>
    <x v="684"/>
    <x v="0"/>
  </r>
  <r>
    <x v="2"/>
    <x v="685"/>
    <x v="1"/>
  </r>
  <r>
    <x v="8"/>
    <x v="685"/>
    <x v="0"/>
  </r>
  <r>
    <x v="6"/>
    <x v="685"/>
    <x v="1"/>
  </r>
  <r>
    <x v="10"/>
    <x v="686"/>
    <x v="71"/>
  </r>
  <r>
    <x v="1"/>
    <x v="686"/>
    <x v="49"/>
  </r>
  <r>
    <x v="2"/>
    <x v="686"/>
    <x v="1"/>
  </r>
  <r>
    <x v="3"/>
    <x v="686"/>
    <x v="4"/>
  </r>
  <r>
    <x v="9"/>
    <x v="686"/>
    <x v="7"/>
  </r>
  <r>
    <x v="0"/>
    <x v="686"/>
    <x v="18"/>
  </r>
  <r>
    <x v="8"/>
    <x v="686"/>
    <x v="7"/>
  </r>
  <r>
    <x v="4"/>
    <x v="686"/>
    <x v="7"/>
  </r>
  <r>
    <x v="5"/>
    <x v="686"/>
    <x v="49"/>
  </r>
  <r>
    <x v="6"/>
    <x v="686"/>
    <x v="18"/>
  </r>
  <r>
    <x v="7"/>
    <x v="686"/>
    <x v="5"/>
  </r>
  <r>
    <x v="10"/>
    <x v="687"/>
    <x v="7"/>
  </r>
  <r>
    <x v="1"/>
    <x v="687"/>
    <x v="2"/>
  </r>
  <r>
    <x v="2"/>
    <x v="687"/>
    <x v="2"/>
  </r>
  <r>
    <x v="3"/>
    <x v="687"/>
    <x v="2"/>
  </r>
  <r>
    <x v="9"/>
    <x v="687"/>
    <x v="4"/>
  </r>
  <r>
    <x v="0"/>
    <x v="687"/>
    <x v="6"/>
  </r>
  <r>
    <x v="8"/>
    <x v="687"/>
    <x v="2"/>
  </r>
  <r>
    <x v="4"/>
    <x v="687"/>
    <x v="4"/>
  </r>
  <r>
    <x v="5"/>
    <x v="687"/>
    <x v="10"/>
  </r>
  <r>
    <x v="6"/>
    <x v="687"/>
    <x v="10"/>
  </r>
  <r>
    <x v="7"/>
    <x v="687"/>
    <x v="10"/>
  </r>
  <r>
    <x v="10"/>
    <x v="688"/>
    <x v="4"/>
  </r>
  <r>
    <x v="1"/>
    <x v="688"/>
    <x v="2"/>
  </r>
  <r>
    <x v="3"/>
    <x v="688"/>
    <x v="3"/>
  </r>
  <r>
    <x v="9"/>
    <x v="688"/>
    <x v="4"/>
  </r>
  <r>
    <x v="4"/>
    <x v="688"/>
    <x v="0"/>
  </r>
  <r>
    <x v="5"/>
    <x v="688"/>
    <x v="10"/>
  </r>
  <r>
    <x v="6"/>
    <x v="688"/>
    <x v="6"/>
  </r>
  <r>
    <x v="7"/>
    <x v="688"/>
    <x v="3"/>
  </r>
  <r>
    <x v="2"/>
    <x v="689"/>
    <x v="2"/>
  </r>
  <r>
    <x v="9"/>
    <x v="689"/>
    <x v="4"/>
  </r>
  <r>
    <x v="0"/>
    <x v="689"/>
    <x v="4"/>
  </r>
  <r>
    <x v="8"/>
    <x v="689"/>
    <x v="1"/>
  </r>
  <r>
    <x v="5"/>
    <x v="689"/>
    <x v="10"/>
  </r>
  <r>
    <x v="6"/>
    <x v="689"/>
    <x v="1"/>
  </r>
  <r>
    <x v="7"/>
    <x v="689"/>
    <x v="4"/>
  </r>
  <r>
    <x v="5"/>
    <x v="690"/>
    <x v="0"/>
  </r>
  <r>
    <x v="5"/>
    <x v="691"/>
    <x v="0"/>
  </r>
  <r>
    <x v="10"/>
    <x v="692"/>
    <x v="0"/>
  </r>
  <r>
    <x v="1"/>
    <x v="692"/>
    <x v="0"/>
  </r>
  <r>
    <x v="2"/>
    <x v="692"/>
    <x v="6"/>
  </r>
  <r>
    <x v="3"/>
    <x v="692"/>
    <x v="4"/>
  </r>
  <r>
    <x v="9"/>
    <x v="692"/>
    <x v="1"/>
  </r>
  <r>
    <x v="0"/>
    <x v="692"/>
    <x v="6"/>
  </r>
  <r>
    <x v="8"/>
    <x v="692"/>
    <x v="2"/>
  </r>
  <r>
    <x v="4"/>
    <x v="692"/>
    <x v="4"/>
  </r>
  <r>
    <x v="5"/>
    <x v="692"/>
    <x v="1"/>
  </r>
  <r>
    <x v="6"/>
    <x v="692"/>
    <x v="48"/>
  </r>
  <r>
    <x v="7"/>
    <x v="692"/>
    <x v="6"/>
  </r>
  <r>
    <x v="0"/>
    <x v="693"/>
    <x v="0"/>
  </r>
  <r>
    <x v="2"/>
    <x v="694"/>
    <x v="0"/>
  </r>
  <r>
    <x v="0"/>
    <x v="695"/>
    <x v="0"/>
  </r>
  <r>
    <x v="2"/>
    <x v="696"/>
    <x v="2"/>
  </r>
  <r>
    <x v="9"/>
    <x v="696"/>
    <x v="9"/>
  </r>
  <r>
    <x v="0"/>
    <x v="696"/>
    <x v="6"/>
  </r>
  <r>
    <x v="7"/>
    <x v="696"/>
    <x v="0"/>
  </r>
  <r>
    <x v="10"/>
    <x v="697"/>
    <x v="4"/>
  </r>
  <r>
    <x v="7"/>
    <x v="698"/>
    <x v="0"/>
  </r>
  <r>
    <x v="7"/>
    <x v="699"/>
    <x v="1"/>
  </r>
  <r>
    <x v="3"/>
    <x v="700"/>
    <x v="0"/>
  </r>
  <r>
    <x v="9"/>
    <x v="700"/>
    <x v="4"/>
  </r>
  <r>
    <x v="8"/>
    <x v="700"/>
    <x v="0"/>
  </r>
  <r>
    <x v="4"/>
    <x v="700"/>
    <x v="4"/>
  </r>
  <r>
    <x v="5"/>
    <x v="700"/>
    <x v="2"/>
  </r>
  <r>
    <x v="10"/>
    <x v="701"/>
    <x v="1"/>
  </r>
  <r>
    <x v="1"/>
    <x v="701"/>
    <x v="0"/>
  </r>
  <r>
    <x v="0"/>
    <x v="701"/>
    <x v="0"/>
  </r>
  <r>
    <x v="1"/>
    <x v="702"/>
    <x v="0"/>
  </r>
  <r>
    <x v="8"/>
    <x v="702"/>
    <x v="0"/>
  </r>
  <r>
    <x v="6"/>
    <x v="702"/>
    <x v="0"/>
  </r>
  <r>
    <x v="8"/>
    <x v="703"/>
    <x v="0"/>
  </r>
  <r>
    <x v="3"/>
    <x v="704"/>
    <x v="0"/>
  </r>
  <r>
    <x v="5"/>
    <x v="704"/>
    <x v="1"/>
  </r>
  <r>
    <x v="10"/>
    <x v="705"/>
    <x v="1"/>
  </r>
  <r>
    <x v="1"/>
    <x v="705"/>
    <x v="6"/>
  </r>
  <r>
    <x v="2"/>
    <x v="705"/>
    <x v="2"/>
  </r>
  <r>
    <x v="3"/>
    <x v="705"/>
    <x v="5"/>
  </r>
  <r>
    <x v="9"/>
    <x v="705"/>
    <x v="4"/>
  </r>
  <r>
    <x v="8"/>
    <x v="705"/>
    <x v="4"/>
  </r>
  <r>
    <x v="4"/>
    <x v="705"/>
    <x v="2"/>
  </r>
  <r>
    <x v="5"/>
    <x v="705"/>
    <x v="2"/>
  </r>
  <r>
    <x v="6"/>
    <x v="705"/>
    <x v="4"/>
  </r>
  <r>
    <x v="7"/>
    <x v="705"/>
    <x v="1"/>
  </r>
  <r>
    <x v="10"/>
    <x v="706"/>
    <x v="0"/>
  </r>
  <r>
    <x v="1"/>
    <x v="706"/>
    <x v="4"/>
  </r>
  <r>
    <x v="2"/>
    <x v="706"/>
    <x v="2"/>
  </r>
  <r>
    <x v="3"/>
    <x v="706"/>
    <x v="2"/>
  </r>
  <r>
    <x v="9"/>
    <x v="706"/>
    <x v="0"/>
  </r>
  <r>
    <x v="4"/>
    <x v="706"/>
    <x v="1"/>
  </r>
  <r>
    <x v="5"/>
    <x v="706"/>
    <x v="1"/>
  </r>
  <r>
    <x v="10"/>
    <x v="707"/>
    <x v="1"/>
  </r>
  <r>
    <x v="6"/>
    <x v="707"/>
    <x v="0"/>
  </r>
  <r>
    <x v="2"/>
    <x v="708"/>
    <x v="0"/>
  </r>
  <r>
    <x v="6"/>
    <x v="708"/>
    <x v="1"/>
  </r>
  <r>
    <x v="7"/>
    <x v="708"/>
    <x v="0"/>
  </r>
  <r>
    <x v="8"/>
    <x v="709"/>
    <x v="0"/>
  </r>
  <r>
    <x v="10"/>
    <x v="710"/>
    <x v="2"/>
  </r>
  <r>
    <x v="1"/>
    <x v="710"/>
    <x v="0"/>
  </r>
  <r>
    <x v="2"/>
    <x v="710"/>
    <x v="0"/>
  </r>
  <r>
    <x v="3"/>
    <x v="710"/>
    <x v="4"/>
  </r>
  <r>
    <x v="9"/>
    <x v="710"/>
    <x v="4"/>
  </r>
  <r>
    <x v="0"/>
    <x v="710"/>
    <x v="4"/>
  </r>
  <r>
    <x v="8"/>
    <x v="710"/>
    <x v="1"/>
  </r>
  <r>
    <x v="3"/>
    <x v="711"/>
    <x v="0"/>
  </r>
  <r>
    <x v="10"/>
    <x v="712"/>
    <x v="0"/>
  </r>
  <r>
    <x v="3"/>
    <x v="712"/>
    <x v="0"/>
  </r>
  <r>
    <x v="0"/>
    <x v="712"/>
    <x v="0"/>
  </r>
  <r>
    <x v="4"/>
    <x v="712"/>
    <x v="1"/>
  </r>
  <r>
    <x v="5"/>
    <x v="712"/>
    <x v="0"/>
  </r>
  <r>
    <x v="6"/>
    <x v="712"/>
    <x v="1"/>
  </r>
  <r>
    <x v="3"/>
    <x v="713"/>
    <x v="0"/>
  </r>
  <r>
    <x v="9"/>
    <x v="713"/>
    <x v="2"/>
  </r>
  <r>
    <x v="0"/>
    <x v="713"/>
    <x v="1"/>
  </r>
  <r>
    <x v="4"/>
    <x v="713"/>
    <x v="0"/>
  </r>
  <r>
    <x v="5"/>
    <x v="713"/>
    <x v="0"/>
  </r>
  <r>
    <x v="2"/>
    <x v="714"/>
    <x v="0"/>
  </r>
  <r>
    <x v="2"/>
    <x v="715"/>
    <x v="0"/>
  </r>
  <r>
    <x v="10"/>
    <x v="716"/>
    <x v="1"/>
  </r>
  <r>
    <x v="1"/>
    <x v="716"/>
    <x v="1"/>
  </r>
  <r>
    <x v="3"/>
    <x v="716"/>
    <x v="0"/>
  </r>
  <r>
    <x v="9"/>
    <x v="716"/>
    <x v="0"/>
  </r>
  <r>
    <x v="0"/>
    <x v="716"/>
    <x v="4"/>
  </r>
  <r>
    <x v="8"/>
    <x v="716"/>
    <x v="0"/>
  </r>
  <r>
    <x v="4"/>
    <x v="716"/>
    <x v="2"/>
  </r>
  <r>
    <x v="5"/>
    <x v="716"/>
    <x v="0"/>
  </r>
  <r>
    <x v="6"/>
    <x v="716"/>
    <x v="1"/>
  </r>
  <r>
    <x v="7"/>
    <x v="716"/>
    <x v="0"/>
  </r>
  <r>
    <x v="8"/>
    <x v="717"/>
    <x v="6"/>
  </r>
  <r>
    <x v="1"/>
    <x v="718"/>
    <x v="0"/>
  </r>
  <r>
    <x v="6"/>
    <x v="718"/>
    <x v="6"/>
  </r>
  <r>
    <x v="7"/>
    <x v="718"/>
    <x v="0"/>
  </r>
  <r>
    <x v="2"/>
    <x v="719"/>
    <x v="0"/>
  </r>
  <r>
    <x v="3"/>
    <x v="719"/>
    <x v="0"/>
  </r>
  <r>
    <x v="0"/>
    <x v="719"/>
    <x v="1"/>
  </r>
  <r>
    <x v="8"/>
    <x v="719"/>
    <x v="0"/>
  </r>
  <r>
    <x v="5"/>
    <x v="719"/>
    <x v="0"/>
  </r>
  <r>
    <x v="6"/>
    <x v="719"/>
    <x v="0"/>
  </r>
  <r>
    <x v="5"/>
    <x v="720"/>
    <x v="0"/>
  </r>
  <r>
    <x v="1"/>
    <x v="721"/>
    <x v="1"/>
  </r>
  <r>
    <x v="3"/>
    <x v="721"/>
    <x v="0"/>
  </r>
  <r>
    <x v="9"/>
    <x v="721"/>
    <x v="0"/>
  </r>
  <r>
    <x v="0"/>
    <x v="721"/>
    <x v="4"/>
  </r>
  <r>
    <x v="8"/>
    <x v="721"/>
    <x v="0"/>
  </r>
  <r>
    <x v="4"/>
    <x v="721"/>
    <x v="0"/>
  </r>
  <r>
    <x v="6"/>
    <x v="721"/>
    <x v="2"/>
  </r>
  <r>
    <x v="7"/>
    <x v="721"/>
    <x v="0"/>
  </r>
  <r>
    <x v="10"/>
    <x v="722"/>
    <x v="1"/>
  </r>
  <r>
    <x v="1"/>
    <x v="722"/>
    <x v="0"/>
  </r>
  <r>
    <x v="3"/>
    <x v="722"/>
    <x v="1"/>
  </r>
  <r>
    <x v="5"/>
    <x v="722"/>
    <x v="1"/>
  </r>
  <r>
    <x v="6"/>
    <x v="722"/>
    <x v="0"/>
  </r>
  <r>
    <x v="7"/>
    <x v="722"/>
    <x v="2"/>
  </r>
  <r>
    <x v="3"/>
    <x v="723"/>
    <x v="6"/>
  </r>
  <r>
    <x v="9"/>
    <x v="723"/>
    <x v="2"/>
  </r>
  <r>
    <x v="5"/>
    <x v="723"/>
    <x v="6"/>
  </r>
  <r>
    <x v="7"/>
    <x v="723"/>
    <x v="0"/>
  </r>
  <r>
    <x v="2"/>
    <x v="724"/>
    <x v="0"/>
  </r>
  <r>
    <x v="10"/>
    <x v="725"/>
    <x v="0"/>
  </r>
  <r>
    <x v="8"/>
    <x v="725"/>
    <x v="3"/>
  </r>
  <r>
    <x v="4"/>
    <x v="725"/>
    <x v="0"/>
  </r>
  <r>
    <x v="4"/>
    <x v="726"/>
    <x v="0"/>
  </r>
  <r>
    <x v="2"/>
    <x v="727"/>
    <x v="0"/>
  </r>
  <r>
    <x v="8"/>
    <x v="728"/>
    <x v="0"/>
  </r>
  <r>
    <x v="10"/>
    <x v="729"/>
    <x v="65"/>
  </r>
  <r>
    <x v="1"/>
    <x v="729"/>
    <x v="18"/>
  </r>
  <r>
    <x v="2"/>
    <x v="729"/>
    <x v="0"/>
  </r>
  <r>
    <x v="0"/>
    <x v="729"/>
    <x v="0"/>
  </r>
  <r>
    <x v="8"/>
    <x v="729"/>
    <x v="2"/>
  </r>
  <r>
    <x v="5"/>
    <x v="729"/>
    <x v="3"/>
  </r>
  <r>
    <x v="6"/>
    <x v="729"/>
    <x v="3"/>
  </r>
  <r>
    <x v="10"/>
    <x v="730"/>
    <x v="1"/>
  </r>
  <r>
    <x v="1"/>
    <x v="730"/>
    <x v="0"/>
  </r>
  <r>
    <x v="3"/>
    <x v="730"/>
    <x v="1"/>
  </r>
  <r>
    <x v="0"/>
    <x v="730"/>
    <x v="3"/>
  </r>
  <r>
    <x v="4"/>
    <x v="730"/>
    <x v="0"/>
  </r>
  <r>
    <x v="6"/>
    <x v="730"/>
    <x v="4"/>
  </r>
  <r>
    <x v="7"/>
    <x v="730"/>
    <x v="0"/>
  </r>
  <r>
    <x v="8"/>
    <x v="731"/>
    <x v="0"/>
  </r>
  <r>
    <x v="5"/>
    <x v="731"/>
    <x v="0"/>
  </r>
  <r>
    <x v="6"/>
    <x v="731"/>
    <x v="4"/>
  </r>
  <r>
    <x v="7"/>
    <x v="731"/>
    <x v="0"/>
  </r>
  <r>
    <x v="10"/>
    <x v="732"/>
    <x v="6"/>
  </r>
  <r>
    <x v="1"/>
    <x v="732"/>
    <x v="10"/>
  </r>
  <r>
    <x v="2"/>
    <x v="732"/>
    <x v="10"/>
  </r>
  <r>
    <x v="3"/>
    <x v="732"/>
    <x v="1"/>
  </r>
  <r>
    <x v="9"/>
    <x v="732"/>
    <x v="6"/>
  </r>
  <r>
    <x v="0"/>
    <x v="732"/>
    <x v="71"/>
  </r>
  <r>
    <x v="8"/>
    <x v="732"/>
    <x v="10"/>
  </r>
  <r>
    <x v="4"/>
    <x v="732"/>
    <x v="7"/>
  </r>
  <r>
    <x v="5"/>
    <x v="732"/>
    <x v="2"/>
  </r>
  <r>
    <x v="6"/>
    <x v="732"/>
    <x v="48"/>
  </r>
  <r>
    <x v="7"/>
    <x v="732"/>
    <x v="48"/>
  </r>
  <r>
    <x v="9"/>
    <x v="733"/>
    <x v="34"/>
  </r>
  <r>
    <x v="10"/>
    <x v="734"/>
    <x v="10"/>
  </r>
  <r>
    <x v="2"/>
    <x v="734"/>
    <x v="1"/>
  </r>
  <r>
    <x v="3"/>
    <x v="734"/>
    <x v="0"/>
  </r>
  <r>
    <x v="9"/>
    <x v="734"/>
    <x v="1"/>
  </r>
  <r>
    <x v="0"/>
    <x v="734"/>
    <x v="1"/>
  </r>
  <r>
    <x v="8"/>
    <x v="734"/>
    <x v="0"/>
  </r>
  <r>
    <x v="10"/>
    <x v="735"/>
    <x v="4"/>
  </r>
  <r>
    <x v="2"/>
    <x v="735"/>
    <x v="4"/>
  </r>
  <r>
    <x v="9"/>
    <x v="735"/>
    <x v="4"/>
  </r>
  <r>
    <x v="0"/>
    <x v="735"/>
    <x v="4"/>
  </r>
  <r>
    <x v="4"/>
    <x v="735"/>
    <x v="4"/>
  </r>
  <r>
    <x v="5"/>
    <x v="735"/>
    <x v="4"/>
  </r>
  <r>
    <x v="6"/>
    <x v="735"/>
    <x v="1"/>
  </r>
  <r>
    <x v="7"/>
    <x v="735"/>
    <x v="1"/>
  </r>
  <r>
    <x v="3"/>
    <x v="736"/>
    <x v="0"/>
  </r>
  <r>
    <x v="7"/>
    <x v="736"/>
    <x v="4"/>
  </r>
  <r>
    <x v="10"/>
    <x v="737"/>
    <x v="132"/>
  </r>
  <r>
    <x v="1"/>
    <x v="737"/>
    <x v="133"/>
  </r>
  <r>
    <x v="2"/>
    <x v="737"/>
    <x v="10"/>
  </r>
  <r>
    <x v="3"/>
    <x v="737"/>
    <x v="61"/>
  </r>
  <r>
    <x v="9"/>
    <x v="737"/>
    <x v="129"/>
  </r>
  <r>
    <x v="0"/>
    <x v="737"/>
    <x v="31"/>
  </r>
  <r>
    <x v="8"/>
    <x v="737"/>
    <x v="104"/>
  </r>
  <r>
    <x v="4"/>
    <x v="737"/>
    <x v="39"/>
  </r>
  <r>
    <x v="5"/>
    <x v="737"/>
    <x v="17"/>
  </r>
  <r>
    <x v="6"/>
    <x v="737"/>
    <x v="19"/>
  </r>
  <r>
    <x v="7"/>
    <x v="737"/>
    <x v="13"/>
  </r>
  <r>
    <x v="7"/>
    <x v="738"/>
    <x v="0"/>
  </r>
  <r>
    <x v="10"/>
    <x v="739"/>
    <x v="1"/>
  </r>
  <r>
    <x v="10"/>
    <x v="740"/>
    <x v="1"/>
  </r>
  <r>
    <x v="1"/>
    <x v="740"/>
    <x v="5"/>
  </r>
  <r>
    <x v="2"/>
    <x v="740"/>
    <x v="1"/>
  </r>
  <r>
    <x v="3"/>
    <x v="740"/>
    <x v="6"/>
  </r>
  <r>
    <x v="9"/>
    <x v="740"/>
    <x v="1"/>
  </r>
  <r>
    <x v="0"/>
    <x v="740"/>
    <x v="1"/>
  </r>
  <r>
    <x v="8"/>
    <x v="740"/>
    <x v="0"/>
  </r>
  <r>
    <x v="4"/>
    <x v="740"/>
    <x v="9"/>
  </r>
  <r>
    <x v="5"/>
    <x v="740"/>
    <x v="4"/>
  </r>
  <r>
    <x v="6"/>
    <x v="740"/>
    <x v="2"/>
  </r>
  <r>
    <x v="7"/>
    <x v="740"/>
    <x v="4"/>
  </r>
  <r>
    <x v="10"/>
    <x v="741"/>
    <x v="1"/>
  </r>
  <r>
    <x v="5"/>
    <x v="742"/>
    <x v="0"/>
  </r>
  <r>
    <x v="4"/>
    <x v="743"/>
    <x v="0"/>
  </r>
  <r>
    <x v="7"/>
    <x v="743"/>
    <x v="0"/>
  </r>
  <r>
    <x v="0"/>
    <x v="744"/>
    <x v="0"/>
  </r>
  <r>
    <x v="2"/>
    <x v="745"/>
    <x v="1"/>
  </r>
  <r>
    <x v="3"/>
    <x v="745"/>
    <x v="0"/>
  </r>
  <r>
    <x v="9"/>
    <x v="745"/>
    <x v="1"/>
  </r>
  <r>
    <x v="4"/>
    <x v="745"/>
    <x v="4"/>
  </r>
  <r>
    <x v="7"/>
    <x v="745"/>
    <x v="1"/>
  </r>
  <r>
    <x v="10"/>
    <x v="746"/>
    <x v="4"/>
  </r>
  <r>
    <x v="2"/>
    <x v="746"/>
    <x v="0"/>
  </r>
  <r>
    <x v="9"/>
    <x v="746"/>
    <x v="1"/>
  </r>
  <r>
    <x v="0"/>
    <x v="746"/>
    <x v="1"/>
  </r>
  <r>
    <x v="4"/>
    <x v="746"/>
    <x v="0"/>
  </r>
  <r>
    <x v="5"/>
    <x v="746"/>
    <x v="4"/>
  </r>
  <r>
    <x v="6"/>
    <x v="746"/>
    <x v="4"/>
  </r>
  <r>
    <x v="7"/>
    <x v="746"/>
    <x v="2"/>
  </r>
  <r>
    <x v="5"/>
    <x v="747"/>
    <x v="0"/>
  </r>
  <r>
    <x v="1"/>
    <x v="748"/>
    <x v="0"/>
  </r>
  <r>
    <x v="1"/>
    <x v="749"/>
    <x v="0"/>
  </r>
  <r>
    <x v="6"/>
    <x v="750"/>
    <x v="3"/>
  </r>
  <r>
    <x v="10"/>
    <x v="751"/>
    <x v="3"/>
  </r>
  <r>
    <x v="3"/>
    <x v="751"/>
    <x v="0"/>
  </r>
  <r>
    <x v="9"/>
    <x v="751"/>
    <x v="0"/>
  </r>
  <r>
    <x v="0"/>
    <x v="751"/>
    <x v="4"/>
  </r>
  <r>
    <x v="4"/>
    <x v="751"/>
    <x v="0"/>
  </r>
  <r>
    <x v="5"/>
    <x v="751"/>
    <x v="0"/>
  </r>
  <r>
    <x v="6"/>
    <x v="751"/>
    <x v="1"/>
  </r>
  <r>
    <x v="7"/>
    <x v="751"/>
    <x v="1"/>
  </r>
  <r>
    <x v="6"/>
    <x v="752"/>
    <x v="1"/>
  </r>
  <r>
    <x v="10"/>
    <x v="753"/>
    <x v="69"/>
  </r>
  <r>
    <x v="1"/>
    <x v="753"/>
    <x v="2"/>
  </r>
  <r>
    <x v="5"/>
    <x v="753"/>
    <x v="4"/>
  </r>
  <r>
    <x v="6"/>
    <x v="753"/>
    <x v="1"/>
  </r>
  <r>
    <x v="10"/>
    <x v="754"/>
    <x v="65"/>
  </r>
  <r>
    <x v="1"/>
    <x v="754"/>
    <x v="41"/>
  </r>
  <r>
    <x v="2"/>
    <x v="754"/>
    <x v="7"/>
  </r>
  <r>
    <x v="9"/>
    <x v="754"/>
    <x v="49"/>
  </r>
  <r>
    <x v="0"/>
    <x v="754"/>
    <x v="49"/>
  </r>
  <r>
    <x v="8"/>
    <x v="754"/>
    <x v="10"/>
  </r>
  <r>
    <x v="4"/>
    <x v="754"/>
    <x v="4"/>
  </r>
  <r>
    <x v="5"/>
    <x v="754"/>
    <x v="5"/>
  </r>
  <r>
    <x v="6"/>
    <x v="754"/>
    <x v="59"/>
  </r>
  <r>
    <x v="7"/>
    <x v="754"/>
    <x v="65"/>
  </r>
  <r>
    <x v="10"/>
    <x v="755"/>
    <x v="0"/>
  </r>
  <r>
    <x v="10"/>
    <x v="756"/>
    <x v="0"/>
  </r>
  <r>
    <x v="1"/>
    <x v="756"/>
    <x v="1"/>
  </r>
  <r>
    <x v="1"/>
    <x v="757"/>
    <x v="0"/>
  </r>
  <r>
    <x v="2"/>
    <x v="757"/>
    <x v="3"/>
  </r>
  <r>
    <x v="0"/>
    <x v="757"/>
    <x v="0"/>
  </r>
  <r>
    <x v="8"/>
    <x v="757"/>
    <x v="0"/>
  </r>
  <r>
    <x v="5"/>
    <x v="757"/>
    <x v="1"/>
  </r>
  <r>
    <x v="6"/>
    <x v="757"/>
    <x v="0"/>
  </r>
  <r>
    <x v="10"/>
    <x v="758"/>
    <x v="8"/>
  </r>
  <r>
    <x v="1"/>
    <x v="758"/>
    <x v="65"/>
  </r>
  <r>
    <x v="2"/>
    <x v="758"/>
    <x v="64"/>
  </r>
  <r>
    <x v="3"/>
    <x v="758"/>
    <x v="11"/>
  </r>
  <r>
    <x v="9"/>
    <x v="758"/>
    <x v="71"/>
  </r>
  <r>
    <x v="0"/>
    <x v="758"/>
    <x v="69"/>
  </r>
  <r>
    <x v="8"/>
    <x v="758"/>
    <x v="65"/>
  </r>
  <r>
    <x v="4"/>
    <x v="758"/>
    <x v="71"/>
  </r>
  <r>
    <x v="5"/>
    <x v="758"/>
    <x v="50"/>
  </r>
  <r>
    <x v="6"/>
    <x v="758"/>
    <x v="8"/>
  </r>
  <r>
    <x v="7"/>
    <x v="758"/>
    <x v="47"/>
  </r>
  <r>
    <x v="10"/>
    <x v="759"/>
    <x v="134"/>
  </r>
  <r>
    <x v="1"/>
    <x v="759"/>
    <x v="135"/>
  </r>
  <r>
    <x v="2"/>
    <x v="759"/>
    <x v="136"/>
  </r>
  <r>
    <x v="3"/>
    <x v="759"/>
    <x v="137"/>
  </r>
  <r>
    <x v="9"/>
    <x v="759"/>
    <x v="138"/>
  </r>
  <r>
    <x v="0"/>
    <x v="759"/>
    <x v="139"/>
  </r>
  <r>
    <x v="8"/>
    <x v="759"/>
    <x v="140"/>
  </r>
  <r>
    <x v="4"/>
    <x v="759"/>
    <x v="141"/>
  </r>
  <r>
    <x v="5"/>
    <x v="759"/>
    <x v="142"/>
  </r>
  <r>
    <x v="6"/>
    <x v="759"/>
    <x v="143"/>
  </r>
  <r>
    <x v="7"/>
    <x v="759"/>
    <x v="144"/>
  </r>
  <r>
    <x v="10"/>
    <x v="760"/>
    <x v="145"/>
  </r>
  <r>
    <x v="1"/>
    <x v="760"/>
    <x v="57"/>
  </r>
  <r>
    <x v="2"/>
    <x v="760"/>
    <x v="90"/>
  </r>
  <r>
    <x v="2"/>
    <x v="760"/>
    <x v="1"/>
  </r>
  <r>
    <x v="3"/>
    <x v="760"/>
    <x v="79"/>
  </r>
  <r>
    <x v="3"/>
    <x v="760"/>
    <x v="0"/>
  </r>
  <r>
    <x v="9"/>
    <x v="760"/>
    <x v="80"/>
  </r>
  <r>
    <x v="9"/>
    <x v="760"/>
    <x v="0"/>
  </r>
  <r>
    <x v="0"/>
    <x v="760"/>
    <x v="133"/>
  </r>
  <r>
    <x v="8"/>
    <x v="760"/>
    <x v="19"/>
  </r>
  <r>
    <x v="8"/>
    <x v="760"/>
    <x v="1"/>
  </r>
  <r>
    <x v="4"/>
    <x v="760"/>
    <x v="73"/>
  </r>
  <r>
    <x v="4"/>
    <x v="760"/>
    <x v="4"/>
  </r>
  <r>
    <x v="5"/>
    <x v="760"/>
    <x v="146"/>
  </r>
  <r>
    <x v="5"/>
    <x v="760"/>
    <x v="2"/>
  </r>
  <r>
    <x v="6"/>
    <x v="760"/>
    <x v="147"/>
  </r>
  <r>
    <x v="7"/>
    <x v="760"/>
    <x v="97"/>
  </r>
  <r>
    <x v="7"/>
    <x v="760"/>
    <x v="0"/>
  </r>
  <r>
    <x v="10"/>
    <x v="761"/>
    <x v="0"/>
  </r>
  <r>
    <x v="2"/>
    <x v="761"/>
    <x v="2"/>
  </r>
  <r>
    <x v="3"/>
    <x v="761"/>
    <x v="6"/>
  </r>
  <r>
    <x v="3"/>
    <x v="761"/>
    <x v="0"/>
  </r>
  <r>
    <x v="9"/>
    <x v="761"/>
    <x v="4"/>
  </r>
  <r>
    <x v="0"/>
    <x v="761"/>
    <x v="0"/>
  </r>
  <r>
    <x v="8"/>
    <x v="761"/>
    <x v="0"/>
  </r>
  <r>
    <x v="8"/>
    <x v="761"/>
    <x v="1"/>
  </r>
  <r>
    <x v="4"/>
    <x v="761"/>
    <x v="2"/>
  </r>
  <r>
    <x v="5"/>
    <x v="761"/>
    <x v="0"/>
  </r>
  <r>
    <x v="5"/>
    <x v="761"/>
    <x v="0"/>
  </r>
  <r>
    <x v="6"/>
    <x v="761"/>
    <x v="0"/>
  </r>
  <r>
    <x v="6"/>
    <x v="761"/>
    <x v="0"/>
  </r>
  <r>
    <x v="7"/>
    <x v="761"/>
    <x v="1"/>
  </r>
  <r>
    <x v="2"/>
    <x v="762"/>
    <x v="3"/>
  </r>
  <r>
    <x v="9"/>
    <x v="762"/>
    <x v="3"/>
  </r>
  <r>
    <x v="0"/>
    <x v="762"/>
    <x v="0"/>
  </r>
  <r>
    <x v="4"/>
    <x v="762"/>
    <x v="1"/>
  </r>
  <r>
    <x v="5"/>
    <x v="762"/>
    <x v="0"/>
  </r>
  <r>
    <x v="6"/>
    <x v="762"/>
    <x v="0"/>
  </r>
  <r>
    <x v="10"/>
    <x v="763"/>
    <x v="0"/>
  </r>
  <r>
    <x v="6"/>
    <x v="763"/>
    <x v="0"/>
  </r>
  <r>
    <x v="6"/>
    <x v="764"/>
    <x v="59"/>
  </r>
  <r>
    <x v="7"/>
    <x v="764"/>
    <x v="110"/>
  </r>
  <r>
    <x v="3"/>
    <x v="765"/>
    <x v="0"/>
  </r>
  <r>
    <x v="10"/>
    <x v="766"/>
    <x v="3"/>
  </r>
  <r>
    <x v="1"/>
    <x v="766"/>
    <x v="0"/>
  </r>
  <r>
    <x v="9"/>
    <x v="767"/>
    <x v="0"/>
  </r>
  <r>
    <x v="6"/>
    <x v="767"/>
    <x v="0"/>
  </r>
  <r>
    <x v="7"/>
    <x v="767"/>
    <x v="0"/>
  </r>
  <r>
    <x v="3"/>
    <x v="768"/>
    <x v="0"/>
  </r>
  <r>
    <x v="6"/>
    <x v="769"/>
    <x v="1"/>
  </r>
  <r>
    <x v="2"/>
    <x v="770"/>
    <x v="0"/>
  </r>
  <r>
    <x v="3"/>
    <x v="770"/>
    <x v="2"/>
  </r>
  <r>
    <x v="9"/>
    <x v="770"/>
    <x v="3"/>
  </r>
  <r>
    <x v="10"/>
    <x v="771"/>
    <x v="84"/>
  </r>
  <r>
    <x v="1"/>
    <x v="771"/>
    <x v="43"/>
  </r>
  <r>
    <x v="2"/>
    <x v="771"/>
    <x v="94"/>
  </r>
  <r>
    <x v="3"/>
    <x v="771"/>
    <x v="43"/>
  </r>
  <r>
    <x v="9"/>
    <x v="771"/>
    <x v="120"/>
  </r>
  <r>
    <x v="0"/>
    <x v="771"/>
    <x v="56"/>
  </r>
  <r>
    <x v="8"/>
    <x v="771"/>
    <x v="53"/>
  </r>
  <r>
    <x v="4"/>
    <x v="771"/>
    <x v="66"/>
  </r>
  <r>
    <x v="5"/>
    <x v="771"/>
    <x v="23"/>
  </r>
  <r>
    <x v="6"/>
    <x v="771"/>
    <x v="148"/>
  </r>
  <r>
    <x v="7"/>
    <x v="771"/>
    <x v="72"/>
  </r>
  <r>
    <x v="1"/>
    <x v="772"/>
    <x v="0"/>
  </r>
  <r>
    <x v="10"/>
    <x v="773"/>
    <x v="7"/>
  </r>
  <r>
    <x v="2"/>
    <x v="773"/>
    <x v="6"/>
  </r>
  <r>
    <x v="9"/>
    <x v="773"/>
    <x v="64"/>
  </r>
  <r>
    <x v="0"/>
    <x v="773"/>
    <x v="1"/>
  </r>
  <r>
    <x v="8"/>
    <x v="773"/>
    <x v="7"/>
  </r>
  <r>
    <x v="4"/>
    <x v="773"/>
    <x v="4"/>
  </r>
  <r>
    <x v="5"/>
    <x v="773"/>
    <x v="71"/>
  </r>
  <r>
    <x v="7"/>
    <x v="773"/>
    <x v="10"/>
  </r>
  <r>
    <x v="0"/>
    <x v="774"/>
    <x v="0"/>
  </r>
  <r>
    <x v="4"/>
    <x v="774"/>
    <x v="0"/>
  </r>
  <r>
    <x v="5"/>
    <x v="774"/>
    <x v="0"/>
  </r>
  <r>
    <x v="7"/>
    <x v="774"/>
    <x v="0"/>
  </r>
  <r>
    <x v="10"/>
    <x v="775"/>
    <x v="0"/>
  </r>
  <r>
    <x v="9"/>
    <x v="775"/>
    <x v="0"/>
  </r>
  <r>
    <x v="8"/>
    <x v="775"/>
    <x v="4"/>
  </r>
  <r>
    <x v="6"/>
    <x v="775"/>
    <x v="0"/>
  </r>
  <r>
    <x v="10"/>
    <x v="776"/>
    <x v="2"/>
  </r>
  <r>
    <x v="1"/>
    <x v="776"/>
    <x v="49"/>
  </r>
  <r>
    <x v="3"/>
    <x v="776"/>
    <x v="10"/>
  </r>
  <r>
    <x v="0"/>
    <x v="776"/>
    <x v="1"/>
  </r>
  <r>
    <x v="8"/>
    <x v="776"/>
    <x v="6"/>
  </r>
  <r>
    <x v="4"/>
    <x v="776"/>
    <x v="4"/>
  </r>
  <r>
    <x v="5"/>
    <x v="776"/>
    <x v="2"/>
  </r>
  <r>
    <x v="6"/>
    <x v="776"/>
    <x v="6"/>
  </r>
  <r>
    <x v="6"/>
    <x v="777"/>
    <x v="0"/>
  </r>
  <r>
    <x v="7"/>
    <x v="777"/>
    <x v="0"/>
  </r>
  <r>
    <x v="3"/>
    <x v="778"/>
    <x v="6"/>
  </r>
  <r>
    <x v="7"/>
    <x v="778"/>
    <x v="1"/>
  </r>
  <r>
    <x v="7"/>
    <x v="779"/>
    <x v="2"/>
  </r>
  <r>
    <x v="10"/>
    <x v="780"/>
    <x v="10"/>
  </r>
  <r>
    <x v="1"/>
    <x v="780"/>
    <x v="1"/>
  </r>
  <r>
    <x v="3"/>
    <x v="780"/>
    <x v="1"/>
  </r>
  <r>
    <x v="0"/>
    <x v="780"/>
    <x v="1"/>
  </r>
  <r>
    <x v="5"/>
    <x v="780"/>
    <x v="0"/>
  </r>
  <r>
    <x v="7"/>
    <x v="780"/>
    <x v="1"/>
  </r>
  <r>
    <x v="1"/>
    <x v="781"/>
    <x v="4"/>
  </r>
  <r>
    <x v="2"/>
    <x v="781"/>
    <x v="2"/>
  </r>
  <r>
    <x v="3"/>
    <x v="781"/>
    <x v="7"/>
  </r>
  <r>
    <x v="9"/>
    <x v="781"/>
    <x v="4"/>
  </r>
  <r>
    <x v="0"/>
    <x v="781"/>
    <x v="2"/>
  </r>
  <r>
    <x v="5"/>
    <x v="781"/>
    <x v="0"/>
  </r>
  <r>
    <x v="10"/>
    <x v="782"/>
    <x v="48"/>
  </r>
  <r>
    <x v="4"/>
    <x v="783"/>
    <x v="0"/>
  </r>
  <r>
    <x v="7"/>
    <x v="783"/>
    <x v="0"/>
  </r>
  <r>
    <x v="4"/>
    <x v="784"/>
    <x v="0"/>
  </r>
  <r>
    <x v="5"/>
    <x v="784"/>
    <x v="0"/>
  </r>
  <r>
    <x v="6"/>
    <x v="784"/>
    <x v="2"/>
  </r>
  <r>
    <x v="7"/>
    <x v="784"/>
    <x v="0"/>
  </r>
  <r>
    <x v="1"/>
    <x v="785"/>
    <x v="1"/>
  </r>
  <r>
    <x v="2"/>
    <x v="785"/>
    <x v="0"/>
  </r>
  <r>
    <x v="3"/>
    <x v="785"/>
    <x v="0"/>
  </r>
  <r>
    <x v="0"/>
    <x v="785"/>
    <x v="0"/>
  </r>
  <r>
    <x v="8"/>
    <x v="785"/>
    <x v="0"/>
  </r>
  <r>
    <x v="4"/>
    <x v="785"/>
    <x v="1"/>
  </r>
  <r>
    <x v="5"/>
    <x v="785"/>
    <x v="0"/>
  </r>
  <r>
    <x v="6"/>
    <x v="785"/>
    <x v="4"/>
  </r>
  <r>
    <x v="5"/>
    <x v="786"/>
    <x v="0"/>
  </r>
  <r>
    <x v="6"/>
    <x v="786"/>
    <x v="1"/>
  </r>
  <r>
    <x v="0"/>
    <x v="787"/>
    <x v="1"/>
  </r>
  <r>
    <x v="4"/>
    <x v="787"/>
    <x v="0"/>
  </r>
  <r>
    <x v="10"/>
    <x v="788"/>
    <x v="1"/>
  </r>
  <r>
    <x v="2"/>
    <x v="788"/>
    <x v="0"/>
  </r>
  <r>
    <x v="3"/>
    <x v="788"/>
    <x v="7"/>
  </r>
  <r>
    <x v="9"/>
    <x v="788"/>
    <x v="1"/>
  </r>
  <r>
    <x v="0"/>
    <x v="788"/>
    <x v="4"/>
  </r>
  <r>
    <x v="8"/>
    <x v="788"/>
    <x v="0"/>
  </r>
  <r>
    <x v="4"/>
    <x v="788"/>
    <x v="0"/>
  </r>
  <r>
    <x v="10"/>
    <x v="789"/>
    <x v="0"/>
  </r>
  <r>
    <x v="1"/>
    <x v="789"/>
    <x v="0"/>
  </r>
  <r>
    <x v="2"/>
    <x v="789"/>
    <x v="0"/>
  </r>
  <r>
    <x v="3"/>
    <x v="789"/>
    <x v="0"/>
  </r>
  <r>
    <x v="9"/>
    <x v="789"/>
    <x v="0"/>
  </r>
  <r>
    <x v="4"/>
    <x v="789"/>
    <x v="2"/>
  </r>
  <r>
    <x v="5"/>
    <x v="789"/>
    <x v="0"/>
  </r>
  <r>
    <x v="6"/>
    <x v="789"/>
    <x v="0"/>
  </r>
  <r>
    <x v="7"/>
    <x v="789"/>
    <x v="6"/>
  </r>
  <r>
    <x v="6"/>
    <x v="790"/>
    <x v="0"/>
  </r>
  <r>
    <x v="7"/>
    <x v="790"/>
    <x v="0"/>
  </r>
  <r>
    <x v="10"/>
    <x v="791"/>
    <x v="149"/>
  </r>
  <r>
    <x v="1"/>
    <x v="791"/>
    <x v="150"/>
  </r>
  <r>
    <x v="2"/>
    <x v="791"/>
    <x v="151"/>
  </r>
  <r>
    <x v="3"/>
    <x v="791"/>
    <x v="152"/>
  </r>
  <r>
    <x v="9"/>
    <x v="791"/>
    <x v="136"/>
  </r>
  <r>
    <x v="0"/>
    <x v="791"/>
    <x v="153"/>
  </r>
  <r>
    <x v="8"/>
    <x v="791"/>
    <x v="154"/>
  </r>
  <r>
    <x v="4"/>
    <x v="791"/>
    <x v="155"/>
  </r>
  <r>
    <x v="5"/>
    <x v="791"/>
    <x v="156"/>
  </r>
  <r>
    <x v="6"/>
    <x v="791"/>
    <x v="157"/>
  </r>
  <r>
    <x v="7"/>
    <x v="791"/>
    <x v="158"/>
  </r>
  <r>
    <x v="10"/>
    <x v="792"/>
    <x v="41"/>
  </r>
  <r>
    <x v="1"/>
    <x v="792"/>
    <x v="41"/>
  </r>
  <r>
    <x v="2"/>
    <x v="792"/>
    <x v="16"/>
  </r>
  <r>
    <x v="3"/>
    <x v="792"/>
    <x v="34"/>
  </r>
  <r>
    <x v="9"/>
    <x v="792"/>
    <x v="32"/>
  </r>
  <r>
    <x v="0"/>
    <x v="792"/>
    <x v="35"/>
  </r>
  <r>
    <x v="8"/>
    <x v="792"/>
    <x v="159"/>
  </r>
  <r>
    <x v="4"/>
    <x v="792"/>
    <x v="21"/>
  </r>
  <r>
    <x v="5"/>
    <x v="792"/>
    <x v="61"/>
  </r>
  <r>
    <x v="6"/>
    <x v="792"/>
    <x v="31"/>
  </r>
  <r>
    <x v="7"/>
    <x v="792"/>
    <x v="117"/>
  </r>
  <r>
    <x v="10"/>
    <x v="793"/>
    <x v="10"/>
  </r>
  <r>
    <x v="1"/>
    <x v="793"/>
    <x v="4"/>
  </r>
  <r>
    <x v="2"/>
    <x v="793"/>
    <x v="0"/>
  </r>
  <r>
    <x v="3"/>
    <x v="793"/>
    <x v="4"/>
  </r>
  <r>
    <x v="9"/>
    <x v="793"/>
    <x v="4"/>
  </r>
  <r>
    <x v="0"/>
    <x v="793"/>
    <x v="5"/>
  </r>
  <r>
    <x v="8"/>
    <x v="793"/>
    <x v="9"/>
  </r>
  <r>
    <x v="4"/>
    <x v="793"/>
    <x v="10"/>
  </r>
  <r>
    <x v="5"/>
    <x v="793"/>
    <x v="4"/>
  </r>
  <r>
    <x v="6"/>
    <x v="793"/>
    <x v="10"/>
  </r>
  <r>
    <x v="7"/>
    <x v="793"/>
    <x v="5"/>
  </r>
  <r>
    <x v="2"/>
    <x v="794"/>
    <x v="0"/>
  </r>
  <r>
    <x v="9"/>
    <x v="794"/>
    <x v="0"/>
  </r>
  <r>
    <x v="7"/>
    <x v="794"/>
    <x v="0"/>
  </r>
  <r>
    <x v="3"/>
    <x v="795"/>
    <x v="6"/>
  </r>
  <r>
    <x v="9"/>
    <x v="795"/>
    <x v="6"/>
  </r>
  <r>
    <x v="0"/>
    <x v="795"/>
    <x v="2"/>
  </r>
  <r>
    <x v="8"/>
    <x v="795"/>
    <x v="0"/>
  </r>
  <r>
    <x v="5"/>
    <x v="795"/>
    <x v="6"/>
  </r>
  <r>
    <x v="6"/>
    <x v="795"/>
    <x v="49"/>
  </r>
  <r>
    <x v="7"/>
    <x v="795"/>
    <x v="4"/>
  </r>
  <r>
    <x v="5"/>
    <x v="796"/>
    <x v="0"/>
  </r>
  <r>
    <x v="1"/>
    <x v="797"/>
    <x v="1"/>
  </r>
  <r>
    <x v="2"/>
    <x v="797"/>
    <x v="0"/>
  </r>
  <r>
    <x v="0"/>
    <x v="797"/>
    <x v="0"/>
  </r>
  <r>
    <x v="1"/>
    <x v="798"/>
    <x v="0"/>
  </r>
  <r>
    <x v="9"/>
    <x v="798"/>
    <x v="0"/>
  </r>
  <r>
    <x v="0"/>
    <x v="798"/>
    <x v="4"/>
  </r>
  <r>
    <x v="8"/>
    <x v="798"/>
    <x v="1"/>
  </r>
  <r>
    <x v="5"/>
    <x v="798"/>
    <x v="0"/>
  </r>
  <r>
    <x v="6"/>
    <x v="798"/>
    <x v="1"/>
  </r>
  <r>
    <x v="7"/>
    <x v="798"/>
    <x v="4"/>
  </r>
  <r>
    <x v="7"/>
    <x v="799"/>
    <x v="71"/>
  </r>
  <r>
    <x v="9"/>
    <x v="800"/>
    <x v="10"/>
  </r>
  <r>
    <x v="0"/>
    <x v="800"/>
    <x v="48"/>
  </r>
  <r>
    <x v="8"/>
    <x v="800"/>
    <x v="0"/>
  </r>
  <r>
    <x v="5"/>
    <x v="800"/>
    <x v="63"/>
  </r>
  <r>
    <x v="6"/>
    <x v="800"/>
    <x v="4"/>
  </r>
  <r>
    <x v="3"/>
    <x v="801"/>
    <x v="71"/>
  </r>
  <r>
    <x v="9"/>
    <x v="801"/>
    <x v="13"/>
  </r>
  <r>
    <x v="8"/>
    <x v="801"/>
    <x v="1"/>
  </r>
  <r>
    <x v="3"/>
    <x v="802"/>
    <x v="17"/>
  </r>
  <r>
    <x v="9"/>
    <x v="802"/>
    <x v="61"/>
  </r>
  <r>
    <x v="0"/>
    <x v="802"/>
    <x v="49"/>
  </r>
  <r>
    <x v="8"/>
    <x v="802"/>
    <x v="2"/>
  </r>
  <r>
    <x v="2"/>
    <x v="803"/>
    <x v="71"/>
  </r>
  <r>
    <x v="10"/>
    <x v="804"/>
    <x v="5"/>
  </r>
  <r>
    <x v="1"/>
    <x v="804"/>
    <x v="64"/>
  </r>
  <r>
    <x v="2"/>
    <x v="804"/>
    <x v="5"/>
  </r>
  <r>
    <x v="10"/>
    <x v="805"/>
    <x v="16"/>
  </r>
  <r>
    <x v="1"/>
    <x v="805"/>
    <x v="53"/>
  </r>
  <r>
    <x v="2"/>
    <x v="805"/>
    <x v="49"/>
  </r>
  <r>
    <x v="3"/>
    <x v="805"/>
    <x v="53"/>
  </r>
  <r>
    <x v="9"/>
    <x v="805"/>
    <x v="60"/>
  </r>
  <r>
    <x v="0"/>
    <x v="805"/>
    <x v="63"/>
  </r>
  <r>
    <x v="6"/>
    <x v="805"/>
    <x v="123"/>
  </r>
  <r>
    <x v="7"/>
    <x v="805"/>
    <x v="62"/>
  </r>
  <r>
    <x v="10"/>
    <x v="806"/>
    <x v="18"/>
  </r>
  <r>
    <x v="1"/>
    <x v="806"/>
    <x v="5"/>
  </r>
  <r>
    <x v="2"/>
    <x v="806"/>
    <x v="66"/>
  </r>
  <r>
    <x v="3"/>
    <x v="806"/>
    <x v="51"/>
  </r>
  <r>
    <x v="9"/>
    <x v="806"/>
    <x v="47"/>
  </r>
  <r>
    <x v="0"/>
    <x v="806"/>
    <x v="8"/>
  </r>
  <r>
    <x v="8"/>
    <x v="806"/>
    <x v="51"/>
  </r>
  <r>
    <x v="4"/>
    <x v="806"/>
    <x v="160"/>
  </r>
  <r>
    <x v="5"/>
    <x v="806"/>
    <x v="131"/>
  </r>
  <r>
    <x v="6"/>
    <x v="806"/>
    <x v="21"/>
  </r>
  <r>
    <x v="7"/>
    <x v="806"/>
    <x v="74"/>
  </r>
  <r>
    <x v="0"/>
    <x v="807"/>
    <x v="0"/>
  </r>
  <r>
    <x v="10"/>
    <x v="808"/>
    <x v="0"/>
  </r>
  <r>
    <x v="0"/>
    <x v="808"/>
    <x v="0"/>
  </r>
  <r>
    <x v="8"/>
    <x v="808"/>
    <x v="0"/>
  </r>
  <r>
    <x v="9"/>
    <x v="809"/>
    <x v="0"/>
  </r>
  <r>
    <x v="0"/>
    <x v="809"/>
    <x v="0"/>
  </r>
  <r>
    <x v="6"/>
    <x v="809"/>
    <x v="0"/>
  </r>
  <r>
    <x v="7"/>
    <x v="809"/>
    <x v="1"/>
  </r>
  <r>
    <x v="1"/>
    <x v="810"/>
    <x v="0"/>
  </r>
  <r>
    <x v="3"/>
    <x v="810"/>
    <x v="1"/>
  </r>
  <r>
    <x v="0"/>
    <x v="811"/>
    <x v="0"/>
  </r>
  <r>
    <x v="9"/>
    <x v="812"/>
    <x v="0"/>
  </r>
  <r>
    <x v="8"/>
    <x v="812"/>
    <x v="1"/>
  </r>
  <r>
    <x v="4"/>
    <x v="812"/>
    <x v="4"/>
  </r>
  <r>
    <x v="5"/>
    <x v="812"/>
    <x v="1"/>
  </r>
  <r>
    <x v="6"/>
    <x v="812"/>
    <x v="0"/>
  </r>
  <r>
    <x v="6"/>
    <x v="813"/>
    <x v="0"/>
  </r>
  <r>
    <x v="10"/>
    <x v="814"/>
    <x v="1"/>
  </r>
  <r>
    <x v="4"/>
    <x v="814"/>
    <x v="0"/>
  </r>
  <r>
    <x v="6"/>
    <x v="814"/>
    <x v="1"/>
  </r>
  <r>
    <x v="10"/>
    <x v="815"/>
    <x v="2"/>
  </r>
  <r>
    <x v="1"/>
    <x v="815"/>
    <x v="6"/>
  </r>
  <r>
    <x v="2"/>
    <x v="815"/>
    <x v="4"/>
  </r>
  <r>
    <x v="3"/>
    <x v="815"/>
    <x v="4"/>
  </r>
  <r>
    <x v="9"/>
    <x v="815"/>
    <x v="1"/>
  </r>
  <r>
    <x v="0"/>
    <x v="815"/>
    <x v="1"/>
  </r>
  <r>
    <x v="8"/>
    <x v="815"/>
    <x v="1"/>
  </r>
  <r>
    <x v="4"/>
    <x v="815"/>
    <x v="0"/>
  </r>
  <r>
    <x v="5"/>
    <x v="815"/>
    <x v="4"/>
  </r>
  <r>
    <x v="10"/>
    <x v="816"/>
    <x v="1"/>
  </r>
  <r>
    <x v="10"/>
    <x v="817"/>
    <x v="0"/>
  </r>
  <r>
    <x v="2"/>
    <x v="817"/>
    <x v="0"/>
  </r>
  <r>
    <x v="9"/>
    <x v="817"/>
    <x v="0"/>
  </r>
  <r>
    <x v="5"/>
    <x v="817"/>
    <x v="1"/>
  </r>
  <r>
    <x v="6"/>
    <x v="817"/>
    <x v="0"/>
  </r>
  <r>
    <x v="10"/>
    <x v="818"/>
    <x v="4"/>
  </r>
  <r>
    <x v="1"/>
    <x v="818"/>
    <x v="6"/>
  </r>
  <r>
    <x v="2"/>
    <x v="818"/>
    <x v="1"/>
  </r>
  <r>
    <x v="3"/>
    <x v="818"/>
    <x v="0"/>
  </r>
  <r>
    <x v="9"/>
    <x v="818"/>
    <x v="0"/>
  </r>
  <r>
    <x v="4"/>
    <x v="818"/>
    <x v="0"/>
  </r>
  <r>
    <x v="5"/>
    <x v="818"/>
    <x v="1"/>
  </r>
  <r>
    <x v="6"/>
    <x v="818"/>
    <x v="0"/>
  </r>
  <r>
    <x v="7"/>
    <x v="818"/>
    <x v="4"/>
  </r>
  <r>
    <x v="1"/>
    <x v="819"/>
    <x v="0"/>
  </r>
  <r>
    <x v="0"/>
    <x v="820"/>
    <x v="0"/>
  </r>
  <r>
    <x v="4"/>
    <x v="820"/>
    <x v="0"/>
  </r>
  <r>
    <x v="10"/>
    <x v="821"/>
    <x v="0"/>
  </r>
  <r>
    <x v="1"/>
    <x v="821"/>
    <x v="1"/>
  </r>
  <r>
    <x v="2"/>
    <x v="821"/>
    <x v="1"/>
  </r>
  <r>
    <x v="8"/>
    <x v="821"/>
    <x v="1"/>
  </r>
  <r>
    <x v="4"/>
    <x v="821"/>
    <x v="1"/>
  </r>
  <r>
    <x v="5"/>
    <x v="821"/>
    <x v="1"/>
  </r>
  <r>
    <x v="7"/>
    <x v="821"/>
    <x v="0"/>
  </r>
  <r>
    <x v="10"/>
    <x v="822"/>
    <x v="0"/>
  </r>
  <r>
    <x v="2"/>
    <x v="822"/>
    <x v="1"/>
  </r>
  <r>
    <x v="0"/>
    <x v="822"/>
    <x v="51"/>
  </r>
  <r>
    <x v="4"/>
    <x v="822"/>
    <x v="0"/>
  </r>
  <r>
    <x v="5"/>
    <x v="822"/>
    <x v="65"/>
  </r>
  <r>
    <x v="6"/>
    <x v="822"/>
    <x v="1"/>
  </r>
  <r>
    <x v="10"/>
    <x v="823"/>
    <x v="15"/>
  </r>
  <r>
    <x v="1"/>
    <x v="823"/>
    <x v="53"/>
  </r>
  <r>
    <x v="2"/>
    <x v="823"/>
    <x v="58"/>
  </r>
  <r>
    <x v="3"/>
    <x v="823"/>
    <x v="70"/>
  </r>
  <r>
    <x v="9"/>
    <x v="823"/>
    <x v="0"/>
  </r>
  <r>
    <x v="0"/>
    <x v="823"/>
    <x v="53"/>
  </r>
  <r>
    <x v="8"/>
    <x v="823"/>
    <x v="8"/>
  </r>
  <r>
    <x v="4"/>
    <x v="823"/>
    <x v="1"/>
  </r>
  <r>
    <x v="5"/>
    <x v="823"/>
    <x v="66"/>
  </r>
  <r>
    <x v="6"/>
    <x v="823"/>
    <x v="65"/>
  </r>
  <r>
    <x v="7"/>
    <x v="823"/>
    <x v="10"/>
  </r>
  <r>
    <x v="10"/>
    <x v="824"/>
    <x v="0"/>
  </r>
  <r>
    <x v="1"/>
    <x v="824"/>
    <x v="4"/>
  </r>
  <r>
    <x v="2"/>
    <x v="824"/>
    <x v="1"/>
  </r>
  <r>
    <x v="3"/>
    <x v="824"/>
    <x v="0"/>
  </r>
  <r>
    <x v="9"/>
    <x v="824"/>
    <x v="1"/>
  </r>
  <r>
    <x v="0"/>
    <x v="824"/>
    <x v="1"/>
  </r>
  <r>
    <x v="8"/>
    <x v="824"/>
    <x v="0"/>
  </r>
  <r>
    <x v="5"/>
    <x v="824"/>
    <x v="3"/>
  </r>
  <r>
    <x v="6"/>
    <x v="824"/>
    <x v="0"/>
  </r>
  <r>
    <x v="7"/>
    <x v="824"/>
    <x v="0"/>
  </r>
  <r>
    <x v="10"/>
    <x v="825"/>
    <x v="4"/>
  </r>
  <r>
    <x v="1"/>
    <x v="825"/>
    <x v="1"/>
  </r>
  <r>
    <x v="2"/>
    <x v="825"/>
    <x v="1"/>
  </r>
  <r>
    <x v="3"/>
    <x v="825"/>
    <x v="0"/>
  </r>
  <r>
    <x v="4"/>
    <x v="825"/>
    <x v="0"/>
  </r>
  <r>
    <x v="5"/>
    <x v="825"/>
    <x v="1"/>
  </r>
  <r>
    <x v="10"/>
    <x v="826"/>
    <x v="53"/>
  </r>
  <r>
    <x v="1"/>
    <x v="826"/>
    <x v="11"/>
  </r>
  <r>
    <x v="2"/>
    <x v="826"/>
    <x v="48"/>
  </r>
  <r>
    <x v="3"/>
    <x v="826"/>
    <x v="11"/>
  </r>
  <r>
    <x v="9"/>
    <x v="826"/>
    <x v="105"/>
  </r>
  <r>
    <x v="9"/>
    <x v="826"/>
    <x v="0"/>
  </r>
  <r>
    <x v="0"/>
    <x v="826"/>
    <x v="13"/>
  </r>
  <r>
    <x v="8"/>
    <x v="826"/>
    <x v="77"/>
  </r>
  <r>
    <x v="8"/>
    <x v="826"/>
    <x v="0"/>
  </r>
  <r>
    <x v="4"/>
    <x v="826"/>
    <x v="62"/>
  </r>
  <r>
    <x v="5"/>
    <x v="826"/>
    <x v="62"/>
  </r>
  <r>
    <x v="5"/>
    <x v="826"/>
    <x v="0"/>
  </r>
  <r>
    <x v="6"/>
    <x v="826"/>
    <x v="12"/>
  </r>
  <r>
    <x v="6"/>
    <x v="826"/>
    <x v="0"/>
  </r>
  <r>
    <x v="7"/>
    <x v="826"/>
    <x v="115"/>
  </r>
  <r>
    <x v="10"/>
    <x v="827"/>
    <x v="0"/>
  </r>
  <r>
    <x v="1"/>
    <x v="827"/>
    <x v="0"/>
  </r>
  <r>
    <x v="2"/>
    <x v="827"/>
    <x v="1"/>
  </r>
  <r>
    <x v="3"/>
    <x v="827"/>
    <x v="1"/>
  </r>
  <r>
    <x v="0"/>
    <x v="827"/>
    <x v="4"/>
  </r>
  <r>
    <x v="5"/>
    <x v="827"/>
    <x v="1"/>
  </r>
  <r>
    <x v="7"/>
    <x v="827"/>
    <x v="1"/>
  </r>
  <r>
    <x v="10"/>
    <x v="828"/>
    <x v="10"/>
  </r>
  <r>
    <x v="1"/>
    <x v="828"/>
    <x v="2"/>
  </r>
  <r>
    <x v="2"/>
    <x v="828"/>
    <x v="4"/>
  </r>
  <r>
    <x v="3"/>
    <x v="828"/>
    <x v="6"/>
  </r>
  <r>
    <x v="9"/>
    <x v="828"/>
    <x v="0"/>
  </r>
  <r>
    <x v="0"/>
    <x v="828"/>
    <x v="2"/>
  </r>
  <r>
    <x v="8"/>
    <x v="828"/>
    <x v="1"/>
  </r>
  <r>
    <x v="10"/>
    <x v="829"/>
    <x v="1"/>
  </r>
  <r>
    <x v="0"/>
    <x v="829"/>
    <x v="0"/>
  </r>
  <r>
    <x v="8"/>
    <x v="829"/>
    <x v="1"/>
  </r>
  <r>
    <x v="6"/>
    <x v="829"/>
    <x v="0"/>
  </r>
  <r>
    <x v="5"/>
    <x v="830"/>
    <x v="0"/>
  </r>
  <r>
    <x v="7"/>
    <x v="830"/>
    <x v="0"/>
  </r>
  <r>
    <x v="1"/>
    <x v="831"/>
    <x v="0"/>
  </r>
  <r>
    <x v="2"/>
    <x v="831"/>
    <x v="0"/>
  </r>
  <r>
    <x v="9"/>
    <x v="831"/>
    <x v="0"/>
  </r>
  <r>
    <x v="4"/>
    <x v="831"/>
    <x v="0"/>
  </r>
  <r>
    <x v="6"/>
    <x v="831"/>
    <x v="1"/>
  </r>
  <r>
    <x v="10"/>
    <x v="832"/>
    <x v="1"/>
  </r>
  <r>
    <x v="1"/>
    <x v="833"/>
    <x v="4"/>
  </r>
  <r>
    <x v="8"/>
    <x v="833"/>
    <x v="1"/>
  </r>
  <r>
    <x v="1"/>
    <x v="834"/>
    <x v="0"/>
  </r>
  <r>
    <x v="4"/>
    <x v="834"/>
    <x v="0"/>
  </r>
  <r>
    <x v="7"/>
    <x v="834"/>
    <x v="0"/>
  </r>
  <r>
    <x v="1"/>
    <x v="835"/>
    <x v="0"/>
  </r>
  <r>
    <x v="4"/>
    <x v="835"/>
    <x v="0"/>
  </r>
  <r>
    <x v="5"/>
    <x v="835"/>
    <x v="1"/>
  </r>
  <r>
    <x v="5"/>
    <x v="836"/>
    <x v="6"/>
  </r>
  <r>
    <x v="6"/>
    <x v="837"/>
    <x v="0"/>
  </r>
  <r>
    <x v="10"/>
    <x v="838"/>
    <x v="161"/>
  </r>
  <r>
    <x v="1"/>
    <x v="838"/>
    <x v="162"/>
  </r>
  <r>
    <x v="2"/>
    <x v="838"/>
    <x v="29"/>
  </r>
  <r>
    <x v="3"/>
    <x v="838"/>
    <x v="46"/>
  </r>
  <r>
    <x v="9"/>
    <x v="838"/>
    <x v="119"/>
  </r>
  <r>
    <x v="0"/>
    <x v="838"/>
    <x v="116"/>
  </r>
  <r>
    <x v="8"/>
    <x v="838"/>
    <x v="82"/>
  </r>
  <r>
    <x v="4"/>
    <x v="838"/>
    <x v="117"/>
  </r>
  <r>
    <x v="4"/>
    <x v="838"/>
    <x v="0"/>
  </r>
  <r>
    <x v="5"/>
    <x v="838"/>
    <x v="129"/>
  </r>
  <r>
    <x v="6"/>
    <x v="838"/>
    <x v="74"/>
  </r>
  <r>
    <x v="7"/>
    <x v="838"/>
    <x v="163"/>
  </r>
  <r>
    <x v="7"/>
    <x v="838"/>
    <x v="2"/>
  </r>
  <r>
    <x v="10"/>
    <x v="839"/>
    <x v="4"/>
  </r>
  <r>
    <x v="2"/>
    <x v="839"/>
    <x v="6"/>
  </r>
  <r>
    <x v="9"/>
    <x v="839"/>
    <x v="1"/>
  </r>
  <r>
    <x v="0"/>
    <x v="839"/>
    <x v="1"/>
  </r>
  <r>
    <x v="8"/>
    <x v="839"/>
    <x v="0"/>
  </r>
  <r>
    <x v="4"/>
    <x v="839"/>
    <x v="2"/>
  </r>
  <r>
    <x v="5"/>
    <x v="839"/>
    <x v="1"/>
  </r>
  <r>
    <x v="6"/>
    <x v="839"/>
    <x v="4"/>
  </r>
  <r>
    <x v="7"/>
    <x v="839"/>
    <x v="2"/>
  </r>
  <r>
    <x v="9"/>
    <x v="840"/>
    <x v="0"/>
  </r>
  <r>
    <x v="0"/>
    <x v="840"/>
    <x v="0"/>
  </r>
  <r>
    <x v="10"/>
    <x v="841"/>
    <x v="0"/>
  </r>
  <r>
    <x v="1"/>
    <x v="841"/>
    <x v="4"/>
  </r>
  <r>
    <x v="3"/>
    <x v="841"/>
    <x v="5"/>
  </r>
  <r>
    <x v="9"/>
    <x v="841"/>
    <x v="4"/>
  </r>
  <r>
    <x v="0"/>
    <x v="841"/>
    <x v="4"/>
  </r>
  <r>
    <x v="8"/>
    <x v="841"/>
    <x v="0"/>
  </r>
  <r>
    <x v="4"/>
    <x v="841"/>
    <x v="2"/>
  </r>
  <r>
    <x v="5"/>
    <x v="841"/>
    <x v="0"/>
  </r>
  <r>
    <x v="6"/>
    <x v="841"/>
    <x v="1"/>
  </r>
  <r>
    <x v="7"/>
    <x v="841"/>
    <x v="4"/>
  </r>
  <r>
    <x v="10"/>
    <x v="842"/>
    <x v="5"/>
  </r>
  <r>
    <x v="1"/>
    <x v="842"/>
    <x v="6"/>
  </r>
  <r>
    <x v="2"/>
    <x v="842"/>
    <x v="10"/>
  </r>
  <r>
    <x v="3"/>
    <x v="842"/>
    <x v="1"/>
  </r>
  <r>
    <x v="9"/>
    <x v="842"/>
    <x v="1"/>
  </r>
  <r>
    <x v="0"/>
    <x v="842"/>
    <x v="6"/>
  </r>
  <r>
    <x v="8"/>
    <x v="842"/>
    <x v="2"/>
  </r>
  <r>
    <x v="4"/>
    <x v="842"/>
    <x v="1"/>
  </r>
  <r>
    <x v="5"/>
    <x v="842"/>
    <x v="4"/>
  </r>
  <r>
    <x v="6"/>
    <x v="842"/>
    <x v="4"/>
  </r>
  <r>
    <x v="7"/>
    <x v="842"/>
    <x v="2"/>
  </r>
  <r>
    <x v="0"/>
    <x v="843"/>
    <x v="0"/>
  </r>
  <r>
    <x v="8"/>
    <x v="843"/>
    <x v="2"/>
  </r>
  <r>
    <x v="5"/>
    <x v="843"/>
    <x v="2"/>
  </r>
  <r>
    <x v="6"/>
    <x v="843"/>
    <x v="4"/>
  </r>
  <r>
    <x v="7"/>
    <x v="843"/>
    <x v="4"/>
  </r>
  <r>
    <x v="10"/>
    <x v="844"/>
    <x v="7"/>
  </r>
  <r>
    <x v="1"/>
    <x v="844"/>
    <x v="0"/>
  </r>
  <r>
    <x v="2"/>
    <x v="844"/>
    <x v="4"/>
  </r>
  <r>
    <x v="3"/>
    <x v="844"/>
    <x v="0"/>
  </r>
  <r>
    <x v="9"/>
    <x v="844"/>
    <x v="4"/>
  </r>
  <r>
    <x v="0"/>
    <x v="844"/>
    <x v="1"/>
  </r>
  <r>
    <x v="8"/>
    <x v="844"/>
    <x v="65"/>
  </r>
  <r>
    <x v="4"/>
    <x v="844"/>
    <x v="18"/>
  </r>
  <r>
    <x v="5"/>
    <x v="844"/>
    <x v="6"/>
  </r>
  <r>
    <x v="6"/>
    <x v="844"/>
    <x v="10"/>
  </r>
  <r>
    <x v="7"/>
    <x v="844"/>
    <x v="49"/>
  </r>
  <r>
    <x v="1"/>
    <x v="845"/>
    <x v="2"/>
  </r>
  <r>
    <x v="0"/>
    <x v="845"/>
    <x v="0"/>
  </r>
  <r>
    <x v="7"/>
    <x v="845"/>
    <x v="1"/>
  </r>
  <r>
    <x v="10"/>
    <x v="846"/>
    <x v="4"/>
  </r>
  <r>
    <x v="1"/>
    <x v="846"/>
    <x v="7"/>
  </r>
  <r>
    <x v="2"/>
    <x v="846"/>
    <x v="9"/>
  </r>
  <r>
    <x v="3"/>
    <x v="846"/>
    <x v="48"/>
  </r>
  <r>
    <x v="9"/>
    <x v="846"/>
    <x v="5"/>
  </r>
  <r>
    <x v="0"/>
    <x v="846"/>
    <x v="5"/>
  </r>
  <r>
    <x v="8"/>
    <x v="846"/>
    <x v="0"/>
  </r>
  <r>
    <x v="4"/>
    <x v="846"/>
    <x v="6"/>
  </r>
  <r>
    <x v="5"/>
    <x v="846"/>
    <x v="1"/>
  </r>
  <r>
    <x v="6"/>
    <x v="846"/>
    <x v="4"/>
  </r>
  <r>
    <x v="7"/>
    <x v="846"/>
    <x v="9"/>
  </r>
  <r>
    <x v="3"/>
    <x v="847"/>
    <x v="0"/>
  </r>
  <r>
    <x v="10"/>
    <x v="848"/>
    <x v="1"/>
  </r>
  <r>
    <x v="1"/>
    <x v="848"/>
    <x v="1"/>
  </r>
  <r>
    <x v="2"/>
    <x v="848"/>
    <x v="0"/>
  </r>
  <r>
    <x v="9"/>
    <x v="848"/>
    <x v="0"/>
  </r>
  <r>
    <x v="8"/>
    <x v="848"/>
    <x v="4"/>
  </r>
  <r>
    <x v="4"/>
    <x v="848"/>
    <x v="4"/>
  </r>
  <r>
    <x v="7"/>
    <x v="848"/>
    <x v="2"/>
  </r>
  <r>
    <x v="6"/>
    <x v="849"/>
    <x v="1"/>
  </r>
  <r>
    <x v="2"/>
    <x v="850"/>
    <x v="0"/>
  </r>
  <r>
    <x v="3"/>
    <x v="850"/>
    <x v="0"/>
  </r>
  <r>
    <x v="5"/>
    <x v="850"/>
    <x v="1"/>
  </r>
  <r>
    <x v="7"/>
    <x v="850"/>
    <x v="0"/>
  </r>
  <r>
    <x v="3"/>
    <x v="851"/>
    <x v="1"/>
  </r>
  <r>
    <x v="4"/>
    <x v="851"/>
    <x v="3"/>
  </r>
  <r>
    <x v="5"/>
    <x v="851"/>
    <x v="3"/>
  </r>
  <r>
    <x v="10"/>
    <x v="852"/>
    <x v="3"/>
  </r>
  <r>
    <x v="9"/>
    <x v="852"/>
    <x v="3"/>
  </r>
  <r>
    <x v="0"/>
    <x v="852"/>
    <x v="3"/>
  </r>
  <r>
    <x v="8"/>
    <x v="852"/>
    <x v="0"/>
  </r>
  <r>
    <x v="4"/>
    <x v="852"/>
    <x v="3"/>
  </r>
  <r>
    <x v="10"/>
    <x v="853"/>
    <x v="11"/>
  </r>
  <r>
    <x v="1"/>
    <x v="853"/>
    <x v="10"/>
  </r>
  <r>
    <x v="3"/>
    <x v="853"/>
    <x v="2"/>
  </r>
  <r>
    <x v="9"/>
    <x v="853"/>
    <x v="47"/>
  </r>
  <r>
    <x v="0"/>
    <x v="853"/>
    <x v="1"/>
  </r>
  <r>
    <x v="8"/>
    <x v="853"/>
    <x v="2"/>
  </r>
  <r>
    <x v="4"/>
    <x v="853"/>
    <x v="65"/>
  </r>
  <r>
    <x v="5"/>
    <x v="853"/>
    <x v="4"/>
  </r>
  <r>
    <x v="6"/>
    <x v="853"/>
    <x v="2"/>
  </r>
  <r>
    <x v="7"/>
    <x v="853"/>
    <x v="3"/>
  </r>
  <r>
    <x v="3"/>
    <x v="854"/>
    <x v="0"/>
  </r>
  <r>
    <x v="0"/>
    <x v="854"/>
    <x v="0"/>
  </r>
  <r>
    <x v="10"/>
    <x v="855"/>
    <x v="164"/>
  </r>
  <r>
    <x v="1"/>
    <x v="855"/>
    <x v="110"/>
  </r>
  <r>
    <x v="2"/>
    <x v="855"/>
    <x v="1"/>
  </r>
  <r>
    <x v="3"/>
    <x v="855"/>
    <x v="15"/>
  </r>
  <r>
    <x v="9"/>
    <x v="855"/>
    <x v="165"/>
  </r>
  <r>
    <x v="0"/>
    <x v="855"/>
    <x v="77"/>
  </r>
  <r>
    <x v="8"/>
    <x v="855"/>
    <x v="71"/>
  </r>
  <r>
    <x v="5"/>
    <x v="855"/>
    <x v="15"/>
  </r>
  <r>
    <x v="6"/>
    <x v="855"/>
    <x v="40"/>
  </r>
  <r>
    <x v="2"/>
    <x v="856"/>
    <x v="0"/>
  </r>
  <r>
    <x v="10"/>
    <x v="857"/>
    <x v="1"/>
  </r>
  <r>
    <x v="3"/>
    <x v="857"/>
    <x v="0"/>
  </r>
  <r>
    <x v="8"/>
    <x v="857"/>
    <x v="6"/>
  </r>
  <r>
    <x v="7"/>
    <x v="857"/>
    <x v="0"/>
  </r>
  <r>
    <x v="1"/>
    <x v="858"/>
    <x v="10"/>
  </r>
  <r>
    <x v="6"/>
    <x v="858"/>
    <x v="49"/>
  </r>
  <r>
    <x v="10"/>
    <x v="859"/>
    <x v="1"/>
  </r>
  <r>
    <x v="2"/>
    <x v="860"/>
    <x v="0"/>
  </r>
  <r>
    <x v="0"/>
    <x v="860"/>
    <x v="0"/>
  </r>
  <r>
    <x v="8"/>
    <x v="860"/>
    <x v="0"/>
  </r>
  <r>
    <x v="6"/>
    <x v="860"/>
    <x v="0"/>
  </r>
  <r>
    <x v="10"/>
    <x v="861"/>
    <x v="0"/>
  </r>
  <r>
    <x v="4"/>
    <x v="861"/>
    <x v="0"/>
  </r>
  <r>
    <x v="5"/>
    <x v="861"/>
    <x v="0"/>
  </r>
  <r>
    <x v="7"/>
    <x v="861"/>
    <x v="0"/>
  </r>
  <r>
    <x v="3"/>
    <x v="862"/>
    <x v="6"/>
  </r>
  <r>
    <x v="0"/>
    <x v="863"/>
    <x v="0"/>
  </r>
  <r>
    <x v="6"/>
    <x v="864"/>
    <x v="0"/>
  </r>
  <r>
    <x v="2"/>
    <x v="865"/>
    <x v="0"/>
  </r>
  <r>
    <x v="3"/>
    <x v="865"/>
    <x v="4"/>
  </r>
  <r>
    <x v="0"/>
    <x v="865"/>
    <x v="1"/>
  </r>
  <r>
    <x v="8"/>
    <x v="865"/>
    <x v="0"/>
  </r>
  <r>
    <x v="5"/>
    <x v="865"/>
    <x v="0"/>
  </r>
  <r>
    <x v="6"/>
    <x v="865"/>
    <x v="0"/>
  </r>
  <r>
    <x v="10"/>
    <x v="866"/>
    <x v="49"/>
  </r>
  <r>
    <x v="1"/>
    <x v="866"/>
    <x v="49"/>
  </r>
  <r>
    <x v="2"/>
    <x v="866"/>
    <x v="13"/>
  </r>
  <r>
    <x v="3"/>
    <x v="866"/>
    <x v="71"/>
  </r>
  <r>
    <x v="9"/>
    <x v="866"/>
    <x v="6"/>
  </r>
  <r>
    <x v="0"/>
    <x v="866"/>
    <x v="71"/>
  </r>
  <r>
    <x v="8"/>
    <x v="866"/>
    <x v="71"/>
  </r>
  <r>
    <x v="4"/>
    <x v="866"/>
    <x v="9"/>
  </r>
  <r>
    <x v="5"/>
    <x v="866"/>
    <x v="9"/>
  </r>
  <r>
    <x v="6"/>
    <x v="866"/>
    <x v="9"/>
  </r>
  <r>
    <x v="7"/>
    <x v="866"/>
    <x v="48"/>
  </r>
  <r>
    <x v="8"/>
    <x v="867"/>
    <x v="0"/>
  </r>
  <r>
    <x v="10"/>
    <x v="868"/>
    <x v="5"/>
  </r>
  <r>
    <x v="9"/>
    <x v="868"/>
    <x v="50"/>
  </r>
  <r>
    <x v="0"/>
    <x v="868"/>
    <x v="94"/>
  </r>
  <r>
    <x v="6"/>
    <x v="868"/>
    <x v="6"/>
  </r>
  <r>
    <x v="10"/>
    <x v="869"/>
    <x v="0"/>
  </r>
  <r>
    <x v="0"/>
    <x v="870"/>
    <x v="1"/>
  </r>
  <r>
    <x v="7"/>
    <x v="870"/>
    <x v="1"/>
  </r>
  <r>
    <x v="10"/>
    <x v="871"/>
    <x v="6"/>
  </r>
  <r>
    <x v="1"/>
    <x v="871"/>
    <x v="10"/>
  </r>
  <r>
    <x v="2"/>
    <x v="871"/>
    <x v="5"/>
  </r>
  <r>
    <x v="3"/>
    <x v="871"/>
    <x v="10"/>
  </r>
  <r>
    <x v="9"/>
    <x v="871"/>
    <x v="6"/>
  </r>
  <r>
    <x v="0"/>
    <x v="871"/>
    <x v="10"/>
  </r>
  <r>
    <x v="8"/>
    <x v="871"/>
    <x v="1"/>
  </r>
  <r>
    <x v="4"/>
    <x v="871"/>
    <x v="10"/>
  </r>
  <r>
    <x v="5"/>
    <x v="871"/>
    <x v="5"/>
  </r>
  <r>
    <x v="6"/>
    <x v="871"/>
    <x v="6"/>
  </r>
  <r>
    <x v="7"/>
    <x v="871"/>
    <x v="0"/>
  </r>
  <r>
    <x v="10"/>
    <x v="872"/>
    <x v="4"/>
  </r>
  <r>
    <x v="1"/>
    <x v="872"/>
    <x v="4"/>
  </r>
  <r>
    <x v="2"/>
    <x v="872"/>
    <x v="1"/>
  </r>
  <r>
    <x v="3"/>
    <x v="872"/>
    <x v="5"/>
  </r>
  <r>
    <x v="9"/>
    <x v="872"/>
    <x v="2"/>
  </r>
  <r>
    <x v="0"/>
    <x v="872"/>
    <x v="1"/>
  </r>
  <r>
    <x v="4"/>
    <x v="872"/>
    <x v="1"/>
  </r>
  <r>
    <x v="5"/>
    <x v="872"/>
    <x v="1"/>
  </r>
  <r>
    <x v="6"/>
    <x v="872"/>
    <x v="4"/>
  </r>
  <r>
    <x v="7"/>
    <x v="872"/>
    <x v="5"/>
  </r>
  <r>
    <x v="10"/>
    <x v="873"/>
    <x v="10"/>
  </r>
  <r>
    <x v="1"/>
    <x v="873"/>
    <x v="2"/>
  </r>
  <r>
    <x v="2"/>
    <x v="873"/>
    <x v="0"/>
  </r>
  <r>
    <x v="3"/>
    <x v="873"/>
    <x v="6"/>
  </r>
  <r>
    <x v="9"/>
    <x v="873"/>
    <x v="1"/>
  </r>
  <r>
    <x v="0"/>
    <x v="873"/>
    <x v="2"/>
  </r>
  <r>
    <x v="8"/>
    <x v="873"/>
    <x v="1"/>
  </r>
  <r>
    <x v="4"/>
    <x v="873"/>
    <x v="0"/>
  </r>
  <r>
    <x v="5"/>
    <x v="873"/>
    <x v="2"/>
  </r>
  <r>
    <x v="6"/>
    <x v="873"/>
    <x v="1"/>
  </r>
  <r>
    <x v="7"/>
    <x v="873"/>
    <x v="1"/>
  </r>
  <r>
    <x v="10"/>
    <x v="874"/>
    <x v="1"/>
  </r>
  <r>
    <x v="1"/>
    <x v="874"/>
    <x v="4"/>
  </r>
  <r>
    <x v="2"/>
    <x v="874"/>
    <x v="1"/>
  </r>
  <r>
    <x v="3"/>
    <x v="874"/>
    <x v="0"/>
  </r>
  <r>
    <x v="8"/>
    <x v="875"/>
    <x v="0"/>
  </r>
  <r>
    <x v="7"/>
    <x v="876"/>
    <x v="0"/>
  </r>
  <r>
    <x v="10"/>
    <x v="877"/>
    <x v="0"/>
  </r>
  <r>
    <x v="3"/>
    <x v="877"/>
    <x v="0"/>
  </r>
  <r>
    <x v="9"/>
    <x v="877"/>
    <x v="0"/>
  </r>
  <r>
    <x v="0"/>
    <x v="877"/>
    <x v="0"/>
  </r>
  <r>
    <x v="4"/>
    <x v="877"/>
    <x v="0"/>
  </r>
  <r>
    <x v="6"/>
    <x v="877"/>
    <x v="0"/>
  </r>
  <r>
    <x v="7"/>
    <x v="877"/>
    <x v="4"/>
  </r>
  <r>
    <x v="5"/>
    <x v="878"/>
    <x v="0"/>
  </r>
  <r>
    <x v="2"/>
    <x v="879"/>
    <x v="11"/>
  </r>
  <r>
    <x v="3"/>
    <x v="879"/>
    <x v="69"/>
  </r>
  <r>
    <x v="9"/>
    <x v="879"/>
    <x v="49"/>
  </r>
  <r>
    <x v="8"/>
    <x v="879"/>
    <x v="2"/>
  </r>
  <r>
    <x v="4"/>
    <x v="879"/>
    <x v="0"/>
  </r>
  <r>
    <x v="5"/>
    <x v="879"/>
    <x v="10"/>
  </r>
  <r>
    <x v="6"/>
    <x v="879"/>
    <x v="6"/>
  </r>
  <r>
    <x v="7"/>
    <x v="879"/>
    <x v="2"/>
  </r>
  <r>
    <x v="10"/>
    <x v="880"/>
    <x v="166"/>
  </r>
  <r>
    <x v="1"/>
    <x v="880"/>
    <x v="167"/>
  </r>
  <r>
    <x v="2"/>
    <x v="880"/>
    <x v="168"/>
  </r>
  <r>
    <x v="3"/>
    <x v="880"/>
    <x v="66"/>
  </r>
  <r>
    <x v="9"/>
    <x v="880"/>
    <x v="37"/>
  </r>
  <r>
    <x v="0"/>
    <x v="880"/>
    <x v="169"/>
  </r>
  <r>
    <x v="8"/>
    <x v="880"/>
    <x v="71"/>
  </r>
  <r>
    <x v="4"/>
    <x v="880"/>
    <x v="17"/>
  </r>
  <r>
    <x v="5"/>
    <x v="880"/>
    <x v="10"/>
  </r>
  <r>
    <x v="6"/>
    <x v="880"/>
    <x v="61"/>
  </r>
  <r>
    <x v="10"/>
    <x v="881"/>
    <x v="49"/>
  </r>
  <r>
    <x v="1"/>
    <x v="881"/>
    <x v="5"/>
  </r>
  <r>
    <x v="2"/>
    <x v="881"/>
    <x v="4"/>
  </r>
  <r>
    <x v="3"/>
    <x v="881"/>
    <x v="1"/>
  </r>
  <r>
    <x v="9"/>
    <x v="881"/>
    <x v="10"/>
  </r>
  <r>
    <x v="0"/>
    <x v="881"/>
    <x v="4"/>
  </r>
  <r>
    <x v="8"/>
    <x v="881"/>
    <x v="48"/>
  </r>
  <r>
    <x v="4"/>
    <x v="881"/>
    <x v="18"/>
  </r>
  <r>
    <x v="5"/>
    <x v="881"/>
    <x v="18"/>
  </r>
  <r>
    <x v="6"/>
    <x v="881"/>
    <x v="4"/>
  </r>
  <r>
    <x v="7"/>
    <x v="881"/>
    <x v="9"/>
  </r>
  <r>
    <x v="7"/>
    <x v="881"/>
    <x v="0"/>
  </r>
  <r>
    <x v="3"/>
    <x v="882"/>
    <x v="0"/>
  </r>
  <r>
    <x v="9"/>
    <x v="882"/>
    <x v="0"/>
  </r>
  <r>
    <x v="10"/>
    <x v="883"/>
    <x v="4"/>
  </r>
  <r>
    <x v="10"/>
    <x v="884"/>
    <x v="0"/>
  </r>
  <r>
    <x v="10"/>
    <x v="885"/>
    <x v="0"/>
  </r>
  <r>
    <x v="5"/>
    <x v="886"/>
    <x v="0"/>
  </r>
  <r>
    <x v="9"/>
    <x v="887"/>
    <x v="0"/>
  </r>
  <r>
    <x v="0"/>
    <x v="888"/>
    <x v="0"/>
  </r>
  <r>
    <x v="10"/>
    <x v="889"/>
    <x v="1"/>
  </r>
  <r>
    <x v="1"/>
    <x v="889"/>
    <x v="0"/>
  </r>
  <r>
    <x v="2"/>
    <x v="889"/>
    <x v="0"/>
  </r>
  <r>
    <x v="3"/>
    <x v="889"/>
    <x v="1"/>
  </r>
  <r>
    <x v="9"/>
    <x v="889"/>
    <x v="0"/>
  </r>
  <r>
    <x v="0"/>
    <x v="889"/>
    <x v="0"/>
  </r>
  <r>
    <x v="6"/>
    <x v="889"/>
    <x v="1"/>
  </r>
  <r>
    <x v="7"/>
    <x v="889"/>
    <x v="0"/>
  </r>
  <r>
    <x v="10"/>
    <x v="890"/>
    <x v="1"/>
  </r>
  <r>
    <x v="2"/>
    <x v="890"/>
    <x v="0"/>
  </r>
  <r>
    <x v="10"/>
    <x v="891"/>
    <x v="1"/>
  </r>
  <r>
    <x v="1"/>
    <x v="891"/>
    <x v="4"/>
  </r>
  <r>
    <x v="2"/>
    <x v="891"/>
    <x v="4"/>
  </r>
  <r>
    <x v="0"/>
    <x v="891"/>
    <x v="0"/>
  </r>
  <r>
    <x v="8"/>
    <x v="891"/>
    <x v="4"/>
  </r>
  <r>
    <x v="4"/>
    <x v="891"/>
    <x v="2"/>
  </r>
  <r>
    <x v="5"/>
    <x v="891"/>
    <x v="1"/>
  </r>
  <r>
    <x v="6"/>
    <x v="891"/>
    <x v="2"/>
  </r>
  <r>
    <x v="7"/>
    <x v="891"/>
    <x v="1"/>
  </r>
  <r>
    <x v="10"/>
    <x v="892"/>
    <x v="0"/>
  </r>
  <r>
    <x v="1"/>
    <x v="892"/>
    <x v="0"/>
  </r>
  <r>
    <x v="2"/>
    <x v="892"/>
    <x v="0"/>
  </r>
  <r>
    <x v="3"/>
    <x v="892"/>
    <x v="0"/>
  </r>
  <r>
    <x v="0"/>
    <x v="892"/>
    <x v="0"/>
  </r>
  <r>
    <x v="4"/>
    <x v="892"/>
    <x v="1"/>
  </r>
  <r>
    <x v="10"/>
    <x v="893"/>
    <x v="1"/>
  </r>
  <r>
    <x v="3"/>
    <x v="893"/>
    <x v="1"/>
  </r>
  <r>
    <x v="9"/>
    <x v="893"/>
    <x v="0"/>
  </r>
  <r>
    <x v="8"/>
    <x v="893"/>
    <x v="0"/>
  </r>
  <r>
    <x v="5"/>
    <x v="893"/>
    <x v="0"/>
  </r>
  <r>
    <x v="5"/>
    <x v="894"/>
    <x v="0"/>
  </r>
  <r>
    <x v="2"/>
    <x v="895"/>
    <x v="0"/>
  </r>
  <r>
    <x v="2"/>
    <x v="896"/>
    <x v="1"/>
  </r>
  <r>
    <x v="3"/>
    <x v="896"/>
    <x v="1"/>
  </r>
  <r>
    <x v="9"/>
    <x v="896"/>
    <x v="1"/>
  </r>
  <r>
    <x v="0"/>
    <x v="896"/>
    <x v="4"/>
  </r>
  <r>
    <x v="4"/>
    <x v="896"/>
    <x v="4"/>
  </r>
  <r>
    <x v="5"/>
    <x v="896"/>
    <x v="2"/>
  </r>
  <r>
    <x v="6"/>
    <x v="896"/>
    <x v="0"/>
  </r>
  <r>
    <x v="7"/>
    <x v="896"/>
    <x v="0"/>
  </r>
  <r>
    <x v="10"/>
    <x v="897"/>
    <x v="7"/>
  </r>
  <r>
    <x v="1"/>
    <x v="897"/>
    <x v="10"/>
  </r>
  <r>
    <x v="2"/>
    <x v="897"/>
    <x v="2"/>
  </r>
  <r>
    <x v="3"/>
    <x v="897"/>
    <x v="4"/>
  </r>
  <r>
    <x v="9"/>
    <x v="897"/>
    <x v="10"/>
  </r>
  <r>
    <x v="0"/>
    <x v="897"/>
    <x v="47"/>
  </r>
  <r>
    <x v="8"/>
    <x v="897"/>
    <x v="64"/>
  </r>
  <r>
    <x v="4"/>
    <x v="897"/>
    <x v="5"/>
  </r>
  <r>
    <x v="5"/>
    <x v="897"/>
    <x v="71"/>
  </r>
  <r>
    <x v="6"/>
    <x v="897"/>
    <x v="9"/>
  </r>
  <r>
    <x v="7"/>
    <x v="897"/>
    <x v="12"/>
  </r>
  <r>
    <x v="5"/>
    <x v="898"/>
    <x v="0"/>
  </r>
  <r>
    <x v="3"/>
    <x v="899"/>
    <x v="0"/>
  </r>
  <r>
    <x v="0"/>
    <x v="899"/>
    <x v="1"/>
  </r>
  <r>
    <x v="8"/>
    <x v="899"/>
    <x v="1"/>
  </r>
  <r>
    <x v="4"/>
    <x v="899"/>
    <x v="0"/>
  </r>
  <r>
    <x v="5"/>
    <x v="899"/>
    <x v="4"/>
  </r>
  <r>
    <x v="2"/>
    <x v="900"/>
    <x v="4"/>
  </r>
  <r>
    <x v="9"/>
    <x v="901"/>
    <x v="1"/>
  </r>
  <r>
    <x v="4"/>
    <x v="902"/>
    <x v="3"/>
  </r>
  <r>
    <x v="2"/>
    <x v="903"/>
    <x v="0"/>
  </r>
  <r>
    <x v="10"/>
    <x v="904"/>
    <x v="0"/>
  </r>
  <r>
    <x v="2"/>
    <x v="904"/>
    <x v="0"/>
  </r>
  <r>
    <x v="0"/>
    <x v="904"/>
    <x v="1"/>
  </r>
  <r>
    <x v="10"/>
    <x v="905"/>
    <x v="0"/>
  </r>
  <r>
    <x v="1"/>
    <x v="905"/>
    <x v="2"/>
  </r>
  <r>
    <x v="2"/>
    <x v="905"/>
    <x v="0"/>
  </r>
  <r>
    <x v="3"/>
    <x v="905"/>
    <x v="0"/>
  </r>
  <r>
    <x v="9"/>
    <x v="905"/>
    <x v="2"/>
  </r>
  <r>
    <x v="0"/>
    <x v="905"/>
    <x v="1"/>
  </r>
  <r>
    <x v="8"/>
    <x v="905"/>
    <x v="0"/>
  </r>
  <r>
    <x v="4"/>
    <x v="905"/>
    <x v="1"/>
  </r>
  <r>
    <x v="5"/>
    <x v="905"/>
    <x v="1"/>
  </r>
  <r>
    <x v="6"/>
    <x v="905"/>
    <x v="0"/>
  </r>
  <r>
    <x v="0"/>
    <x v="906"/>
    <x v="0"/>
  </r>
  <r>
    <x v="4"/>
    <x v="906"/>
    <x v="0"/>
  </r>
  <r>
    <x v="9"/>
    <x v="907"/>
    <x v="0"/>
  </r>
  <r>
    <x v="7"/>
    <x v="907"/>
    <x v="6"/>
  </r>
  <r>
    <x v="6"/>
    <x v="908"/>
    <x v="1"/>
  </r>
  <r>
    <x v="4"/>
    <x v="909"/>
    <x v="0"/>
  </r>
  <r>
    <x v="5"/>
    <x v="909"/>
    <x v="2"/>
  </r>
  <r>
    <x v="7"/>
    <x v="909"/>
    <x v="1"/>
  </r>
  <r>
    <x v="3"/>
    <x v="910"/>
    <x v="0"/>
  </r>
  <r>
    <x v="8"/>
    <x v="910"/>
    <x v="0"/>
  </r>
  <r>
    <x v="2"/>
    <x v="911"/>
    <x v="1"/>
  </r>
  <r>
    <x v="10"/>
    <x v="912"/>
    <x v="0"/>
  </r>
  <r>
    <x v="3"/>
    <x v="912"/>
    <x v="0"/>
  </r>
  <r>
    <x v="10"/>
    <x v="913"/>
    <x v="49"/>
  </r>
  <r>
    <x v="1"/>
    <x v="913"/>
    <x v="49"/>
  </r>
  <r>
    <x v="2"/>
    <x v="913"/>
    <x v="65"/>
  </r>
  <r>
    <x v="3"/>
    <x v="913"/>
    <x v="5"/>
  </r>
  <r>
    <x v="9"/>
    <x v="913"/>
    <x v="4"/>
  </r>
  <r>
    <x v="0"/>
    <x v="913"/>
    <x v="12"/>
  </r>
  <r>
    <x v="8"/>
    <x v="913"/>
    <x v="5"/>
  </r>
  <r>
    <x v="4"/>
    <x v="913"/>
    <x v="10"/>
  </r>
  <r>
    <x v="5"/>
    <x v="913"/>
    <x v="48"/>
  </r>
  <r>
    <x v="6"/>
    <x v="913"/>
    <x v="5"/>
  </r>
  <r>
    <x v="7"/>
    <x v="913"/>
    <x v="48"/>
  </r>
  <r>
    <x v="3"/>
    <x v="914"/>
    <x v="0"/>
  </r>
  <r>
    <x v="8"/>
    <x v="914"/>
    <x v="4"/>
  </r>
  <r>
    <x v="5"/>
    <x v="914"/>
    <x v="0"/>
  </r>
  <r>
    <x v="2"/>
    <x v="915"/>
    <x v="0"/>
  </r>
  <r>
    <x v="1"/>
    <x v="916"/>
    <x v="0"/>
  </r>
  <r>
    <x v="3"/>
    <x v="916"/>
    <x v="0"/>
  </r>
  <r>
    <x v="4"/>
    <x v="916"/>
    <x v="0"/>
  </r>
  <r>
    <x v="10"/>
    <x v="917"/>
    <x v="0"/>
  </r>
  <r>
    <x v="6"/>
    <x v="917"/>
    <x v="0"/>
  </r>
  <r>
    <x v="10"/>
    <x v="918"/>
    <x v="0"/>
  </r>
  <r>
    <x v="10"/>
    <x v="919"/>
    <x v="1"/>
  </r>
  <r>
    <x v="1"/>
    <x v="919"/>
    <x v="1"/>
  </r>
  <r>
    <x v="2"/>
    <x v="919"/>
    <x v="6"/>
  </r>
  <r>
    <x v="3"/>
    <x v="919"/>
    <x v="1"/>
  </r>
  <r>
    <x v="9"/>
    <x v="919"/>
    <x v="6"/>
  </r>
  <r>
    <x v="0"/>
    <x v="919"/>
    <x v="4"/>
  </r>
  <r>
    <x v="8"/>
    <x v="919"/>
    <x v="1"/>
  </r>
  <r>
    <x v="4"/>
    <x v="919"/>
    <x v="4"/>
  </r>
  <r>
    <x v="5"/>
    <x v="919"/>
    <x v="1"/>
  </r>
  <r>
    <x v="7"/>
    <x v="919"/>
    <x v="0"/>
  </r>
  <r>
    <x v="10"/>
    <x v="920"/>
    <x v="170"/>
  </r>
  <r>
    <x v="1"/>
    <x v="920"/>
    <x v="171"/>
  </r>
  <r>
    <x v="2"/>
    <x v="920"/>
    <x v="172"/>
  </r>
  <r>
    <x v="3"/>
    <x v="920"/>
    <x v="173"/>
  </r>
  <r>
    <x v="9"/>
    <x v="920"/>
    <x v="174"/>
  </r>
  <r>
    <x v="0"/>
    <x v="920"/>
    <x v="175"/>
  </r>
  <r>
    <x v="8"/>
    <x v="920"/>
    <x v="176"/>
  </r>
  <r>
    <x v="4"/>
    <x v="920"/>
    <x v="177"/>
  </r>
  <r>
    <x v="5"/>
    <x v="920"/>
    <x v="178"/>
  </r>
  <r>
    <x v="6"/>
    <x v="920"/>
    <x v="179"/>
  </r>
  <r>
    <x v="7"/>
    <x v="920"/>
    <x v="180"/>
  </r>
  <r>
    <x v="8"/>
    <x v="921"/>
    <x v="1"/>
  </r>
  <r>
    <x v="4"/>
    <x v="921"/>
    <x v="0"/>
  </r>
  <r>
    <x v="7"/>
    <x v="921"/>
    <x v="0"/>
  </r>
  <r>
    <x v="10"/>
    <x v="922"/>
    <x v="1"/>
  </r>
  <r>
    <x v="2"/>
    <x v="922"/>
    <x v="1"/>
  </r>
  <r>
    <x v="3"/>
    <x v="922"/>
    <x v="6"/>
  </r>
  <r>
    <x v="8"/>
    <x v="922"/>
    <x v="1"/>
  </r>
  <r>
    <x v="6"/>
    <x v="922"/>
    <x v="0"/>
  </r>
  <r>
    <x v="7"/>
    <x v="922"/>
    <x v="0"/>
  </r>
  <r>
    <x v="10"/>
    <x v="923"/>
    <x v="1"/>
  </r>
  <r>
    <x v="1"/>
    <x v="923"/>
    <x v="1"/>
  </r>
  <r>
    <x v="2"/>
    <x v="923"/>
    <x v="1"/>
  </r>
  <r>
    <x v="4"/>
    <x v="924"/>
    <x v="0"/>
  </r>
  <r>
    <x v="10"/>
    <x v="925"/>
    <x v="0"/>
  </r>
  <r>
    <x v="1"/>
    <x v="925"/>
    <x v="4"/>
  </r>
  <r>
    <x v="2"/>
    <x v="925"/>
    <x v="0"/>
  </r>
  <r>
    <x v="3"/>
    <x v="925"/>
    <x v="0"/>
  </r>
  <r>
    <x v="9"/>
    <x v="925"/>
    <x v="3"/>
  </r>
  <r>
    <x v="0"/>
    <x v="925"/>
    <x v="0"/>
  </r>
  <r>
    <x v="8"/>
    <x v="925"/>
    <x v="0"/>
  </r>
  <r>
    <x v="7"/>
    <x v="925"/>
    <x v="0"/>
  </r>
  <r>
    <x v="2"/>
    <x v="926"/>
    <x v="0"/>
  </r>
  <r>
    <x v="10"/>
    <x v="927"/>
    <x v="0"/>
  </r>
  <r>
    <x v="0"/>
    <x v="927"/>
    <x v="0"/>
  </r>
  <r>
    <x v="6"/>
    <x v="928"/>
    <x v="0"/>
  </r>
  <r>
    <x v="10"/>
    <x v="929"/>
    <x v="0"/>
  </r>
  <r>
    <x v="1"/>
    <x v="929"/>
    <x v="4"/>
  </r>
  <r>
    <x v="2"/>
    <x v="929"/>
    <x v="1"/>
  </r>
  <r>
    <x v="3"/>
    <x v="929"/>
    <x v="0"/>
  </r>
  <r>
    <x v="9"/>
    <x v="929"/>
    <x v="4"/>
  </r>
  <r>
    <x v="0"/>
    <x v="929"/>
    <x v="2"/>
  </r>
  <r>
    <x v="8"/>
    <x v="929"/>
    <x v="1"/>
  </r>
  <r>
    <x v="4"/>
    <x v="929"/>
    <x v="2"/>
  </r>
  <r>
    <x v="5"/>
    <x v="929"/>
    <x v="2"/>
  </r>
  <r>
    <x v="6"/>
    <x v="929"/>
    <x v="1"/>
  </r>
  <r>
    <x v="7"/>
    <x v="929"/>
    <x v="2"/>
  </r>
  <r>
    <x v="9"/>
    <x v="930"/>
    <x v="0"/>
  </r>
  <r>
    <x v="8"/>
    <x v="930"/>
    <x v="0"/>
  </r>
  <r>
    <x v="2"/>
    <x v="931"/>
    <x v="0"/>
  </r>
  <r>
    <x v="10"/>
    <x v="932"/>
    <x v="0"/>
  </r>
  <r>
    <x v="10"/>
    <x v="933"/>
    <x v="41"/>
  </r>
  <r>
    <x v="1"/>
    <x v="933"/>
    <x v="75"/>
  </r>
  <r>
    <x v="2"/>
    <x v="933"/>
    <x v="8"/>
  </r>
  <r>
    <x v="3"/>
    <x v="933"/>
    <x v="47"/>
  </r>
  <r>
    <x v="9"/>
    <x v="933"/>
    <x v="17"/>
  </r>
  <r>
    <x v="0"/>
    <x v="933"/>
    <x v="40"/>
  </r>
  <r>
    <x v="8"/>
    <x v="933"/>
    <x v="48"/>
  </r>
  <r>
    <x v="4"/>
    <x v="933"/>
    <x v="11"/>
  </r>
  <r>
    <x v="5"/>
    <x v="933"/>
    <x v="17"/>
  </r>
  <r>
    <x v="6"/>
    <x v="933"/>
    <x v="32"/>
  </r>
  <r>
    <x v="7"/>
    <x v="933"/>
    <x v="50"/>
  </r>
  <r>
    <x v="10"/>
    <x v="934"/>
    <x v="4"/>
  </r>
  <r>
    <x v="3"/>
    <x v="934"/>
    <x v="10"/>
  </r>
  <r>
    <x v="3"/>
    <x v="935"/>
    <x v="4"/>
  </r>
  <r>
    <x v="3"/>
    <x v="936"/>
    <x v="0"/>
  </r>
  <r>
    <x v="3"/>
    <x v="937"/>
    <x v="1"/>
  </r>
  <r>
    <x v="2"/>
    <x v="938"/>
    <x v="0"/>
  </r>
  <r>
    <x v="3"/>
    <x v="938"/>
    <x v="4"/>
  </r>
  <r>
    <x v="6"/>
    <x v="939"/>
    <x v="58"/>
  </r>
  <r>
    <x v="7"/>
    <x v="939"/>
    <x v="32"/>
  </r>
  <r>
    <x v="2"/>
    <x v="940"/>
    <x v="0"/>
  </r>
  <r>
    <x v="1"/>
    <x v="941"/>
    <x v="0"/>
  </r>
  <r>
    <x v="10"/>
    <x v="942"/>
    <x v="7"/>
  </r>
  <r>
    <x v="1"/>
    <x v="942"/>
    <x v="65"/>
  </r>
  <r>
    <x v="2"/>
    <x v="942"/>
    <x v="2"/>
  </r>
  <r>
    <x v="3"/>
    <x v="942"/>
    <x v="10"/>
  </r>
  <r>
    <x v="9"/>
    <x v="942"/>
    <x v="7"/>
  </r>
  <r>
    <x v="0"/>
    <x v="942"/>
    <x v="11"/>
  </r>
  <r>
    <x v="8"/>
    <x v="942"/>
    <x v="10"/>
  </r>
  <r>
    <x v="4"/>
    <x v="942"/>
    <x v="7"/>
  </r>
  <r>
    <x v="5"/>
    <x v="942"/>
    <x v="6"/>
  </r>
  <r>
    <x v="6"/>
    <x v="942"/>
    <x v="69"/>
  </r>
  <r>
    <x v="7"/>
    <x v="942"/>
    <x v="94"/>
  </r>
  <r>
    <x v="10"/>
    <x v="943"/>
    <x v="4"/>
  </r>
  <r>
    <x v="1"/>
    <x v="943"/>
    <x v="0"/>
  </r>
  <r>
    <x v="2"/>
    <x v="943"/>
    <x v="0"/>
  </r>
  <r>
    <x v="3"/>
    <x v="943"/>
    <x v="1"/>
  </r>
  <r>
    <x v="9"/>
    <x v="943"/>
    <x v="2"/>
  </r>
  <r>
    <x v="0"/>
    <x v="943"/>
    <x v="1"/>
  </r>
  <r>
    <x v="4"/>
    <x v="943"/>
    <x v="1"/>
  </r>
  <r>
    <x v="6"/>
    <x v="943"/>
    <x v="1"/>
  </r>
  <r>
    <x v="10"/>
    <x v="944"/>
    <x v="0"/>
  </r>
  <r>
    <x v="1"/>
    <x v="944"/>
    <x v="1"/>
  </r>
  <r>
    <x v="3"/>
    <x v="944"/>
    <x v="0"/>
  </r>
  <r>
    <x v="9"/>
    <x v="944"/>
    <x v="1"/>
  </r>
  <r>
    <x v="8"/>
    <x v="945"/>
    <x v="1"/>
  </r>
  <r>
    <x v="4"/>
    <x v="945"/>
    <x v="0"/>
  </r>
  <r>
    <x v="5"/>
    <x v="945"/>
    <x v="1"/>
  </r>
  <r>
    <x v="10"/>
    <x v="946"/>
    <x v="0"/>
  </r>
  <r>
    <x v="2"/>
    <x v="946"/>
    <x v="0"/>
  </r>
  <r>
    <x v="3"/>
    <x v="946"/>
    <x v="0"/>
  </r>
  <r>
    <x v="9"/>
    <x v="946"/>
    <x v="0"/>
  </r>
  <r>
    <x v="0"/>
    <x v="946"/>
    <x v="4"/>
  </r>
  <r>
    <x v="8"/>
    <x v="946"/>
    <x v="0"/>
  </r>
  <r>
    <x v="4"/>
    <x v="946"/>
    <x v="1"/>
  </r>
  <r>
    <x v="5"/>
    <x v="946"/>
    <x v="1"/>
  </r>
  <r>
    <x v="6"/>
    <x v="946"/>
    <x v="0"/>
  </r>
  <r>
    <x v="7"/>
    <x v="946"/>
    <x v="1"/>
  </r>
  <r>
    <x v="10"/>
    <x v="947"/>
    <x v="0"/>
  </r>
  <r>
    <x v="1"/>
    <x v="947"/>
    <x v="0"/>
  </r>
  <r>
    <x v="6"/>
    <x v="947"/>
    <x v="3"/>
  </r>
  <r>
    <x v="3"/>
    <x v="948"/>
    <x v="0"/>
  </r>
  <r>
    <x v="9"/>
    <x v="949"/>
    <x v="0"/>
  </r>
  <r>
    <x v="8"/>
    <x v="949"/>
    <x v="1"/>
  </r>
  <r>
    <x v="4"/>
    <x v="949"/>
    <x v="0"/>
  </r>
  <r>
    <x v="6"/>
    <x v="949"/>
    <x v="0"/>
  </r>
  <r>
    <x v="8"/>
    <x v="950"/>
    <x v="0"/>
  </r>
  <r>
    <x v="10"/>
    <x v="951"/>
    <x v="8"/>
  </r>
  <r>
    <x v="1"/>
    <x v="951"/>
    <x v="21"/>
  </r>
  <r>
    <x v="2"/>
    <x v="951"/>
    <x v="53"/>
  </r>
  <r>
    <x v="3"/>
    <x v="951"/>
    <x v="11"/>
  </r>
  <r>
    <x v="9"/>
    <x v="951"/>
    <x v="115"/>
  </r>
  <r>
    <x v="0"/>
    <x v="951"/>
    <x v="11"/>
  </r>
  <r>
    <x v="8"/>
    <x v="951"/>
    <x v="13"/>
  </r>
  <r>
    <x v="4"/>
    <x v="951"/>
    <x v="115"/>
  </r>
  <r>
    <x v="5"/>
    <x v="951"/>
    <x v="68"/>
  </r>
  <r>
    <x v="6"/>
    <x v="951"/>
    <x v="20"/>
  </r>
  <r>
    <x v="7"/>
    <x v="951"/>
    <x v="95"/>
  </r>
  <r>
    <x v="4"/>
    <x v="952"/>
    <x v="1"/>
  </r>
  <r>
    <x v="5"/>
    <x v="952"/>
    <x v="0"/>
  </r>
  <r>
    <x v="10"/>
    <x v="953"/>
    <x v="97"/>
  </r>
  <r>
    <x v="1"/>
    <x v="953"/>
    <x v="13"/>
  </r>
  <r>
    <x v="2"/>
    <x v="953"/>
    <x v="15"/>
  </r>
  <r>
    <x v="9"/>
    <x v="953"/>
    <x v="2"/>
  </r>
  <r>
    <x v="0"/>
    <x v="953"/>
    <x v="56"/>
  </r>
  <r>
    <x v="8"/>
    <x v="953"/>
    <x v="18"/>
  </r>
  <r>
    <x v="4"/>
    <x v="953"/>
    <x v="60"/>
  </r>
  <r>
    <x v="5"/>
    <x v="953"/>
    <x v="51"/>
  </r>
  <r>
    <x v="6"/>
    <x v="953"/>
    <x v="75"/>
  </r>
  <r>
    <x v="7"/>
    <x v="953"/>
    <x v="61"/>
  </r>
  <r>
    <x v="10"/>
    <x v="954"/>
    <x v="0"/>
  </r>
  <r>
    <x v="10"/>
    <x v="955"/>
    <x v="4"/>
  </r>
  <r>
    <x v="1"/>
    <x v="955"/>
    <x v="3"/>
  </r>
  <r>
    <x v="2"/>
    <x v="955"/>
    <x v="1"/>
  </r>
  <r>
    <x v="6"/>
    <x v="955"/>
    <x v="0"/>
  </r>
  <r>
    <x v="7"/>
    <x v="955"/>
    <x v="2"/>
  </r>
  <r>
    <x v="10"/>
    <x v="956"/>
    <x v="0"/>
  </r>
  <r>
    <x v="10"/>
    <x v="957"/>
    <x v="6"/>
  </r>
  <r>
    <x v="1"/>
    <x v="957"/>
    <x v="2"/>
  </r>
  <r>
    <x v="2"/>
    <x v="957"/>
    <x v="1"/>
  </r>
  <r>
    <x v="3"/>
    <x v="957"/>
    <x v="4"/>
  </r>
  <r>
    <x v="9"/>
    <x v="957"/>
    <x v="4"/>
  </r>
  <r>
    <x v="0"/>
    <x v="957"/>
    <x v="0"/>
  </r>
  <r>
    <x v="4"/>
    <x v="957"/>
    <x v="49"/>
  </r>
  <r>
    <x v="6"/>
    <x v="957"/>
    <x v="1"/>
  </r>
  <r>
    <x v="7"/>
    <x v="957"/>
    <x v="2"/>
  </r>
  <r>
    <x v="7"/>
    <x v="958"/>
    <x v="0"/>
  </r>
  <r>
    <x v="4"/>
    <x v="959"/>
    <x v="1"/>
  </r>
  <r>
    <x v="7"/>
    <x v="959"/>
    <x v="0"/>
  </r>
  <r>
    <x v="2"/>
    <x v="960"/>
    <x v="0"/>
  </r>
  <r>
    <x v="9"/>
    <x v="960"/>
    <x v="0"/>
  </r>
  <r>
    <x v="4"/>
    <x v="960"/>
    <x v="0"/>
  </r>
  <r>
    <x v="5"/>
    <x v="960"/>
    <x v="1"/>
  </r>
  <r>
    <x v="6"/>
    <x v="960"/>
    <x v="1"/>
  </r>
  <r>
    <x v="9"/>
    <x v="961"/>
    <x v="0"/>
  </r>
  <r>
    <x v="10"/>
    <x v="962"/>
    <x v="0"/>
  </r>
  <r>
    <x v="10"/>
    <x v="963"/>
    <x v="0"/>
  </r>
  <r>
    <x v="1"/>
    <x v="963"/>
    <x v="0"/>
  </r>
  <r>
    <x v="10"/>
    <x v="964"/>
    <x v="0"/>
  </r>
  <r>
    <x v="0"/>
    <x v="965"/>
    <x v="0"/>
  </r>
  <r>
    <x v="1"/>
    <x v="966"/>
    <x v="2"/>
  </r>
  <r>
    <x v="9"/>
    <x v="966"/>
    <x v="4"/>
  </r>
  <r>
    <x v="0"/>
    <x v="966"/>
    <x v="0"/>
  </r>
  <r>
    <x v="4"/>
    <x v="966"/>
    <x v="0"/>
  </r>
  <r>
    <x v="6"/>
    <x v="966"/>
    <x v="0"/>
  </r>
  <r>
    <x v="7"/>
    <x v="966"/>
    <x v="0"/>
  </r>
  <r>
    <x v="10"/>
    <x v="967"/>
    <x v="6"/>
  </r>
  <r>
    <x v="1"/>
    <x v="967"/>
    <x v="4"/>
  </r>
  <r>
    <x v="2"/>
    <x v="967"/>
    <x v="2"/>
  </r>
  <r>
    <x v="3"/>
    <x v="967"/>
    <x v="2"/>
  </r>
  <r>
    <x v="9"/>
    <x v="967"/>
    <x v="1"/>
  </r>
  <r>
    <x v="0"/>
    <x v="967"/>
    <x v="0"/>
  </r>
  <r>
    <x v="8"/>
    <x v="967"/>
    <x v="1"/>
  </r>
  <r>
    <x v="4"/>
    <x v="967"/>
    <x v="4"/>
  </r>
  <r>
    <x v="5"/>
    <x v="967"/>
    <x v="1"/>
  </r>
  <r>
    <x v="6"/>
    <x v="967"/>
    <x v="2"/>
  </r>
  <r>
    <x v="7"/>
    <x v="967"/>
    <x v="2"/>
  </r>
  <r>
    <x v="2"/>
    <x v="968"/>
    <x v="0"/>
  </r>
  <r>
    <x v="10"/>
    <x v="969"/>
    <x v="2"/>
  </r>
  <r>
    <x v="1"/>
    <x v="969"/>
    <x v="1"/>
  </r>
  <r>
    <x v="2"/>
    <x v="969"/>
    <x v="6"/>
  </r>
  <r>
    <x v="3"/>
    <x v="969"/>
    <x v="0"/>
  </r>
  <r>
    <x v="0"/>
    <x v="969"/>
    <x v="0"/>
  </r>
  <r>
    <x v="8"/>
    <x v="969"/>
    <x v="2"/>
  </r>
  <r>
    <x v="4"/>
    <x v="969"/>
    <x v="5"/>
  </r>
  <r>
    <x v="5"/>
    <x v="969"/>
    <x v="6"/>
  </r>
  <r>
    <x v="6"/>
    <x v="969"/>
    <x v="1"/>
  </r>
  <r>
    <x v="7"/>
    <x v="969"/>
    <x v="1"/>
  </r>
  <r>
    <x v="10"/>
    <x v="970"/>
    <x v="0"/>
  </r>
  <r>
    <x v="2"/>
    <x v="970"/>
    <x v="0"/>
  </r>
  <r>
    <x v="3"/>
    <x v="971"/>
    <x v="0"/>
  </r>
  <r>
    <x v="4"/>
    <x v="971"/>
    <x v="0"/>
  </r>
  <r>
    <x v="5"/>
    <x v="971"/>
    <x v="0"/>
  </r>
  <r>
    <x v="6"/>
    <x v="971"/>
    <x v="0"/>
  </r>
  <r>
    <x v="7"/>
    <x v="971"/>
    <x v="0"/>
  </r>
  <r>
    <x v="10"/>
    <x v="972"/>
    <x v="0"/>
  </r>
  <r>
    <x v="3"/>
    <x v="972"/>
    <x v="1"/>
  </r>
  <r>
    <x v="9"/>
    <x v="972"/>
    <x v="6"/>
  </r>
  <r>
    <x v="0"/>
    <x v="972"/>
    <x v="2"/>
  </r>
  <r>
    <x v="8"/>
    <x v="972"/>
    <x v="4"/>
  </r>
  <r>
    <x v="4"/>
    <x v="972"/>
    <x v="1"/>
  </r>
  <r>
    <x v="5"/>
    <x v="972"/>
    <x v="0"/>
  </r>
  <r>
    <x v="7"/>
    <x v="972"/>
    <x v="0"/>
  </r>
  <r>
    <x v="1"/>
    <x v="973"/>
    <x v="0"/>
  </r>
  <r>
    <x v="2"/>
    <x v="973"/>
    <x v="0"/>
  </r>
  <r>
    <x v="3"/>
    <x v="973"/>
    <x v="1"/>
  </r>
  <r>
    <x v="9"/>
    <x v="973"/>
    <x v="4"/>
  </r>
  <r>
    <x v="0"/>
    <x v="973"/>
    <x v="10"/>
  </r>
  <r>
    <x v="8"/>
    <x v="973"/>
    <x v="7"/>
  </r>
  <r>
    <x v="4"/>
    <x v="973"/>
    <x v="1"/>
  </r>
  <r>
    <x v="5"/>
    <x v="973"/>
    <x v="1"/>
  </r>
  <r>
    <x v="6"/>
    <x v="973"/>
    <x v="5"/>
  </r>
  <r>
    <x v="7"/>
    <x v="973"/>
    <x v="4"/>
  </r>
  <r>
    <x v="10"/>
    <x v="974"/>
    <x v="2"/>
  </r>
  <r>
    <x v="4"/>
    <x v="974"/>
    <x v="0"/>
  </r>
  <r>
    <x v="6"/>
    <x v="974"/>
    <x v="0"/>
  </r>
  <r>
    <x v="7"/>
    <x v="974"/>
    <x v="0"/>
  </r>
  <r>
    <x v="10"/>
    <x v="975"/>
    <x v="0"/>
  </r>
  <r>
    <x v="2"/>
    <x v="975"/>
    <x v="0"/>
  </r>
  <r>
    <x v="3"/>
    <x v="975"/>
    <x v="4"/>
  </r>
  <r>
    <x v="8"/>
    <x v="975"/>
    <x v="1"/>
  </r>
  <r>
    <x v="4"/>
    <x v="975"/>
    <x v="2"/>
  </r>
  <r>
    <x v="5"/>
    <x v="975"/>
    <x v="0"/>
  </r>
  <r>
    <x v="6"/>
    <x v="975"/>
    <x v="0"/>
  </r>
  <r>
    <x v="7"/>
    <x v="975"/>
    <x v="4"/>
  </r>
  <r>
    <x v="10"/>
    <x v="976"/>
    <x v="1"/>
  </r>
  <r>
    <x v="1"/>
    <x v="976"/>
    <x v="1"/>
  </r>
  <r>
    <x v="2"/>
    <x v="976"/>
    <x v="0"/>
  </r>
  <r>
    <x v="10"/>
    <x v="977"/>
    <x v="0"/>
  </r>
  <r>
    <x v="1"/>
    <x v="977"/>
    <x v="7"/>
  </r>
  <r>
    <x v="2"/>
    <x v="977"/>
    <x v="6"/>
  </r>
  <r>
    <x v="3"/>
    <x v="977"/>
    <x v="4"/>
  </r>
  <r>
    <x v="9"/>
    <x v="977"/>
    <x v="2"/>
  </r>
  <r>
    <x v="0"/>
    <x v="977"/>
    <x v="2"/>
  </r>
  <r>
    <x v="8"/>
    <x v="977"/>
    <x v="4"/>
  </r>
  <r>
    <x v="4"/>
    <x v="977"/>
    <x v="7"/>
  </r>
  <r>
    <x v="5"/>
    <x v="977"/>
    <x v="6"/>
  </r>
  <r>
    <x v="6"/>
    <x v="977"/>
    <x v="9"/>
  </r>
  <r>
    <x v="7"/>
    <x v="977"/>
    <x v="5"/>
  </r>
  <r>
    <x v="10"/>
    <x v="978"/>
    <x v="4"/>
  </r>
  <r>
    <x v="1"/>
    <x v="978"/>
    <x v="10"/>
  </r>
  <r>
    <x v="2"/>
    <x v="978"/>
    <x v="4"/>
  </r>
  <r>
    <x v="3"/>
    <x v="978"/>
    <x v="4"/>
  </r>
  <r>
    <x v="9"/>
    <x v="978"/>
    <x v="6"/>
  </r>
  <r>
    <x v="8"/>
    <x v="978"/>
    <x v="1"/>
  </r>
  <r>
    <x v="4"/>
    <x v="978"/>
    <x v="6"/>
  </r>
  <r>
    <x v="5"/>
    <x v="978"/>
    <x v="1"/>
  </r>
  <r>
    <x v="6"/>
    <x v="978"/>
    <x v="4"/>
  </r>
  <r>
    <x v="7"/>
    <x v="978"/>
    <x v="10"/>
  </r>
  <r>
    <x v="5"/>
    <x v="979"/>
    <x v="0"/>
  </r>
  <r>
    <x v="10"/>
    <x v="980"/>
    <x v="0"/>
  </r>
  <r>
    <x v="1"/>
    <x v="980"/>
    <x v="0"/>
  </r>
  <r>
    <x v="2"/>
    <x v="980"/>
    <x v="0"/>
  </r>
  <r>
    <x v="3"/>
    <x v="980"/>
    <x v="4"/>
  </r>
  <r>
    <x v="0"/>
    <x v="980"/>
    <x v="1"/>
  </r>
  <r>
    <x v="10"/>
    <x v="981"/>
    <x v="0"/>
  </r>
  <r>
    <x v="1"/>
    <x v="982"/>
    <x v="0"/>
  </r>
  <r>
    <x v="0"/>
    <x v="983"/>
    <x v="1"/>
  </r>
  <r>
    <x v="1"/>
    <x v="984"/>
    <x v="77"/>
  </r>
  <r>
    <x v="2"/>
    <x v="984"/>
    <x v="2"/>
  </r>
  <r>
    <x v="9"/>
    <x v="984"/>
    <x v="9"/>
  </r>
  <r>
    <x v="0"/>
    <x v="984"/>
    <x v="10"/>
  </r>
  <r>
    <x v="4"/>
    <x v="984"/>
    <x v="71"/>
  </r>
  <r>
    <x v="5"/>
    <x v="984"/>
    <x v="18"/>
  </r>
  <r>
    <x v="6"/>
    <x v="984"/>
    <x v="2"/>
  </r>
  <r>
    <x v="10"/>
    <x v="985"/>
    <x v="5"/>
  </r>
  <r>
    <x v="1"/>
    <x v="985"/>
    <x v="18"/>
  </r>
  <r>
    <x v="2"/>
    <x v="985"/>
    <x v="10"/>
  </r>
  <r>
    <x v="3"/>
    <x v="985"/>
    <x v="2"/>
  </r>
  <r>
    <x v="9"/>
    <x v="985"/>
    <x v="2"/>
  </r>
  <r>
    <x v="0"/>
    <x v="985"/>
    <x v="8"/>
  </r>
  <r>
    <x v="8"/>
    <x v="985"/>
    <x v="10"/>
  </r>
  <r>
    <x v="4"/>
    <x v="985"/>
    <x v="4"/>
  </r>
  <r>
    <x v="5"/>
    <x v="985"/>
    <x v="7"/>
  </r>
  <r>
    <x v="6"/>
    <x v="985"/>
    <x v="48"/>
  </r>
  <r>
    <x v="7"/>
    <x v="985"/>
    <x v="7"/>
  </r>
  <r>
    <x v="10"/>
    <x v="986"/>
    <x v="1"/>
  </r>
  <r>
    <x v="1"/>
    <x v="986"/>
    <x v="0"/>
  </r>
  <r>
    <x v="2"/>
    <x v="986"/>
    <x v="0"/>
  </r>
  <r>
    <x v="9"/>
    <x v="986"/>
    <x v="2"/>
  </r>
  <r>
    <x v="0"/>
    <x v="986"/>
    <x v="4"/>
  </r>
  <r>
    <x v="8"/>
    <x v="986"/>
    <x v="4"/>
  </r>
  <r>
    <x v="5"/>
    <x v="986"/>
    <x v="1"/>
  </r>
  <r>
    <x v="6"/>
    <x v="986"/>
    <x v="4"/>
  </r>
  <r>
    <x v="7"/>
    <x v="986"/>
    <x v="1"/>
  </r>
  <r>
    <x v="7"/>
    <x v="987"/>
    <x v="0"/>
  </r>
  <r>
    <x v="2"/>
    <x v="988"/>
    <x v="0"/>
  </r>
  <r>
    <x v="10"/>
    <x v="989"/>
    <x v="65"/>
  </r>
  <r>
    <x v="1"/>
    <x v="989"/>
    <x v="1"/>
  </r>
  <r>
    <x v="2"/>
    <x v="989"/>
    <x v="48"/>
  </r>
  <r>
    <x v="3"/>
    <x v="989"/>
    <x v="4"/>
  </r>
  <r>
    <x v="9"/>
    <x v="989"/>
    <x v="4"/>
  </r>
  <r>
    <x v="0"/>
    <x v="989"/>
    <x v="4"/>
  </r>
  <r>
    <x v="8"/>
    <x v="989"/>
    <x v="1"/>
  </r>
  <r>
    <x v="4"/>
    <x v="989"/>
    <x v="1"/>
  </r>
  <r>
    <x v="5"/>
    <x v="989"/>
    <x v="0"/>
  </r>
  <r>
    <x v="7"/>
    <x v="989"/>
    <x v="0"/>
  </r>
  <r>
    <x v="10"/>
    <x v="990"/>
    <x v="65"/>
  </r>
  <r>
    <x v="1"/>
    <x v="990"/>
    <x v="1"/>
  </r>
  <r>
    <x v="2"/>
    <x v="990"/>
    <x v="48"/>
  </r>
  <r>
    <x v="3"/>
    <x v="990"/>
    <x v="4"/>
  </r>
  <r>
    <x v="9"/>
    <x v="990"/>
    <x v="2"/>
  </r>
  <r>
    <x v="0"/>
    <x v="990"/>
    <x v="2"/>
  </r>
  <r>
    <x v="8"/>
    <x v="990"/>
    <x v="1"/>
  </r>
  <r>
    <x v="4"/>
    <x v="990"/>
    <x v="1"/>
  </r>
  <r>
    <x v="5"/>
    <x v="990"/>
    <x v="0"/>
  </r>
  <r>
    <x v="7"/>
    <x v="990"/>
    <x v="0"/>
  </r>
  <r>
    <x v="1"/>
    <x v="991"/>
    <x v="1"/>
  </r>
  <r>
    <x v="2"/>
    <x v="991"/>
    <x v="1"/>
  </r>
  <r>
    <x v="3"/>
    <x v="991"/>
    <x v="0"/>
  </r>
  <r>
    <x v="0"/>
    <x v="991"/>
    <x v="3"/>
  </r>
  <r>
    <x v="8"/>
    <x v="991"/>
    <x v="0"/>
  </r>
  <r>
    <x v="4"/>
    <x v="991"/>
    <x v="0"/>
  </r>
  <r>
    <x v="5"/>
    <x v="991"/>
    <x v="1"/>
  </r>
  <r>
    <x v="6"/>
    <x v="991"/>
    <x v="4"/>
  </r>
  <r>
    <x v="7"/>
    <x v="991"/>
    <x v="4"/>
  </r>
  <r>
    <x v="4"/>
    <x v="992"/>
    <x v="0"/>
  </r>
  <r>
    <x v="5"/>
    <x v="992"/>
    <x v="4"/>
  </r>
  <r>
    <x v="0"/>
    <x v="993"/>
    <x v="0"/>
  </r>
  <r>
    <x v="9"/>
    <x v="994"/>
    <x v="14"/>
  </r>
  <r>
    <x v="10"/>
    <x v="995"/>
    <x v="0"/>
  </r>
  <r>
    <x v="1"/>
    <x v="995"/>
    <x v="0"/>
  </r>
  <r>
    <x v="3"/>
    <x v="995"/>
    <x v="0"/>
  </r>
  <r>
    <x v="0"/>
    <x v="995"/>
    <x v="0"/>
  </r>
  <r>
    <x v="6"/>
    <x v="995"/>
    <x v="0"/>
  </r>
  <r>
    <x v="10"/>
    <x v="996"/>
    <x v="105"/>
  </r>
  <r>
    <x v="1"/>
    <x v="996"/>
    <x v="17"/>
  </r>
  <r>
    <x v="2"/>
    <x v="996"/>
    <x v="69"/>
  </r>
  <r>
    <x v="3"/>
    <x v="996"/>
    <x v="12"/>
  </r>
  <r>
    <x v="9"/>
    <x v="996"/>
    <x v="13"/>
  </r>
  <r>
    <x v="0"/>
    <x v="996"/>
    <x v="95"/>
  </r>
  <r>
    <x v="8"/>
    <x v="996"/>
    <x v="71"/>
  </r>
  <r>
    <x v="4"/>
    <x v="996"/>
    <x v="13"/>
  </r>
  <r>
    <x v="5"/>
    <x v="996"/>
    <x v="15"/>
  </r>
  <r>
    <x v="6"/>
    <x v="996"/>
    <x v="51"/>
  </r>
  <r>
    <x v="7"/>
    <x v="996"/>
    <x v="95"/>
  </r>
  <r>
    <x v="1"/>
    <x v="997"/>
    <x v="0"/>
  </r>
  <r>
    <x v="8"/>
    <x v="997"/>
    <x v="0"/>
  </r>
  <r>
    <x v="6"/>
    <x v="997"/>
    <x v="0"/>
  </r>
  <r>
    <x v="5"/>
    <x v="998"/>
    <x v="0"/>
  </r>
  <r>
    <x v="6"/>
    <x v="998"/>
    <x v="0"/>
  </r>
  <r>
    <x v="7"/>
    <x v="999"/>
    <x v="0"/>
  </r>
  <r>
    <x v="1"/>
    <x v="1000"/>
    <x v="1"/>
  </r>
  <r>
    <x v="6"/>
    <x v="1000"/>
    <x v="0"/>
  </r>
  <r>
    <x v="0"/>
    <x v="1001"/>
    <x v="1"/>
  </r>
  <r>
    <x v="6"/>
    <x v="1002"/>
    <x v="0"/>
  </r>
  <r>
    <x v="5"/>
    <x v="1003"/>
    <x v="1"/>
  </r>
  <r>
    <x v="10"/>
    <x v="1004"/>
    <x v="4"/>
  </r>
  <r>
    <x v="2"/>
    <x v="1004"/>
    <x v="4"/>
  </r>
  <r>
    <x v="9"/>
    <x v="1004"/>
    <x v="4"/>
  </r>
  <r>
    <x v="8"/>
    <x v="1004"/>
    <x v="4"/>
  </r>
  <r>
    <x v="6"/>
    <x v="1004"/>
    <x v="4"/>
  </r>
  <r>
    <x v="7"/>
    <x v="1004"/>
    <x v="6"/>
  </r>
  <r>
    <x v="4"/>
    <x v="1005"/>
    <x v="1"/>
  </r>
  <r>
    <x v="10"/>
    <x v="1006"/>
    <x v="4"/>
  </r>
  <r>
    <x v="1"/>
    <x v="1006"/>
    <x v="7"/>
  </r>
  <r>
    <x v="2"/>
    <x v="1006"/>
    <x v="4"/>
  </r>
  <r>
    <x v="8"/>
    <x v="1006"/>
    <x v="0"/>
  </r>
  <r>
    <x v="5"/>
    <x v="1006"/>
    <x v="3"/>
  </r>
  <r>
    <x v="6"/>
    <x v="1006"/>
    <x v="0"/>
  </r>
  <r>
    <x v="10"/>
    <x v="1007"/>
    <x v="3"/>
  </r>
  <r>
    <x v="2"/>
    <x v="1007"/>
    <x v="0"/>
  </r>
  <r>
    <x v="7"/>
    <x v="1007"/>
    <x v="1"/>
  </r>
  <r>
    <x v="10"/>
    <x v="1008"/>
    <x v="0"/>
  </r>
  <r>
    <x v="1"/>
    <x v="1008"/>
    <x v="1"/>
  </r>
  <r>
    <x v="2"/>
    <x v="1008"/>
    <x v="1"/>
  </r>
  <r>
    <x v="3"/>
    <x v="1008"/>
    <x v="4"/>
  </r>
  <r>
    <x v="9"/>
    <x v="1008"/>
    <x v="1"/>
  </r>
  <r>
    <x v="0"/>
    <x v="1008"/>
    <x v="1"/>
  </r>
  <r>
    <x v="8"/>
    <x v="1008"/>
    <x v="1"/>
  </r>
  <r>
    <x v="4"/>
    <x v="1008"/>
    <x v="2"/>
  </r>
  <r>
    <x v="5"/>
    <x v="1008"/>
    <x v="1"/>
  </r>
  <r>
    <x v="6"/>
    <x v="1008"/>
    <x v="1"/>
  </r>
  <r>
    <x v="7"/>
    <x v="1008"/>
    <x v="0"/>
  </r>
  <r>
    <x v="9"/>
    <x v="1009"/>
    <x v="1"/>
  </r>
  <r>
    <x v="0"/>
    <x v="1009"/>
    <x v="0"/>
  </r>
  <r>
    <x v="8"/>
    <x v="1009"/>
    <x v="0"/>
  </r>
  <r>
    <x v="4"/>
    <x v="1009"/>
    <x v="0"/>
  </r>
  <r>
    <x v="5"/>
    <x v="1009"/>
    <x v="4"/>
  </r>
  <r>
    <x v="6"/>
    <x v="1009"/>
    <x v="0"/>
  </r>
  <r>
    <x v="10"/>
    <x v="1010"/>
    <x v="181"/>
  </r>
  <r>
    <x v="1"/>
    <x v="1010"/>
    <x v="57"/>
  </r>
  <r>
    <x v="2"/>
    <x v="1010"/>
    <x v="182"/>
  </r>
  <r>
    <x v="3"/>
    <x v="1010"/>
    <x v="122"/>
  </r>
  <r>
    <x v="9"/>
    <x v="1010"/>
    <x v="28"/>
  </r>
  <r>
    <x v="0"/>
    <x v="1010"/>
    <x v="128"/>
  </r>
  <r>
    <x v="8"/>
    <x v="1010"/>
    <x v="183"/>
  </r>
  <r>
    <x v="8"/>
    <x v="1010"/>
    <x v="0"/>
  </r>
  <r>
    <x v="4"/>
    <x v="1010"/>
    <x v="31"/>
  </r>
  <r>
    <x v="4"/>
    <x v="1010"/>
    <x v="0"/>
  </r>
  <r>
    <x v="5"/>
    <x v="1010"/>
    <x v="184"/>
  </r>
  <r>
    <x v="6"/>
    <x v="1010"/>
    <x v="90"/>
  </r>
  <r>
    <x v="7"/>
    <x v="1010"/>
    <x v="84"/>
  </r>
  <r>
    <x v="7"/>
    <x v="1010"/>
    <x v="0"/>
  </r>
  <r>
    <x v="1"/>
    <x v="1011"/>
    <x v="0"/>
  </r>
  <r>
    <x v="3"/>
    <x v="1011"/>
    <x v="1"/>
  </r>
  <r>
    <x v="10"/>
    <x v="1012"/>
    <x v="0"/>
  </r>
  <r>
    <x v="2"/>
    <x v="1013"/>
    <x v="10"/>
  </r>
  <r>
    <x v="3"/>
    <x v="1013"/>
    <x v="1"/>
  </r>
  <r>
    <x v="9"/>
    <x v="1013"/>
    <x v="4"/>
  </r>
  <r>
    <x v="0"/>
    <x v="1013"/>
    <x v="1"/>
  </r>
  <r>
    <x v="8"/>
    <x v="1013"/>
    <x v="0"/>
  </r>
  <r>
    <x v="5"/>
    <x v="1014"/>
    <x v="1"/>
  </r>
  <r>
    <x v="6"/>
    <x v="1014"/>
    <x v="0"/>
  </r>
  <r>
    <x v="7"/>
    <x v="1014"/>
    <x v="6"/>
  </r>
  <r>
    <x v="7"/>
    <x v="1015"/>
    <x v="0"/>
  </r>
  <r>
    <x v="8"/>
    <x v="1016"/>
    <x v="0"/>
  </r>
  <r>
    <x v="10"/>
    <x v="1017"/>
    <x v="0"/>
  </r>
  <r>
    <x v="10"/>
    <x v="1018"/>
    <x v="0"/>
  </r>
  <r>
    <x v="9"/>
    <x v="1018"/>
    <x v="0"/>
  </r>
  <r>
    <x v="0"/>
    <x v="1018"/>
    <x v="0"/>
  </r>
  <r>
    <x v="4"/>
    <x v="1018"/>
    <x v="0"/>
  </r>
  <r>
    <x v="5"/>
    <x v="1018"/>
    <x v="0"/>
  </r>
  <r>
    <x v="7"/>
    <x v="1019"/>
    <x v="0"/>
  </r>
  <r>
    <x v="2"/>
    <x v="1020"/>
    <x v="0"/>
  </r>
  <r>
    <x v="3"/>
    <x v="1020"/>
    <x v="1"/>
  </r>
  <r>
    <x v="9"/>
    <x v="1020"/>
    <x v="0"/>
  </r>
  <r>
    <x v="8"/>
    <x v="1020"/>
    <x v="0"/>
  </r>
  <r>
    <x v="4"/>
    <x v="1020"/>
    <x v="0"/>
  </r>
  <r>
    <x v="6"/>
    <x v="1020"/>
    <x v="1"/>
  </r>
  <r>
    <x v="0"/>
    <x v="1021"/>
    <x v="0"/>
  </r>
  <r>
    <x v="5"/>
    <x v="1021"/>
    <x v="0"/>
  </r>
  <r>
    <x v="10"/>
    <x v="1022"/>
    <x v="0"/>
  </r>
  <r>
    <x v="2"/>
    <x v="1022"/>
    <x v="1"/>
  </r>
  <r>
    <x v="3"/>
    <x v="1022"/>
    <x v="0"/>
  </r>
  <r>
    <x v="9"/>
    <x v="1022"/>
    <x v="2"/>
  </r>
  <r>
    <x v="0"/>
    <x v="1022"/>
    <x v="1"/>
  </r>
  <r>
    <x v="8"/>
    <x v="1023"/>
    <x v="0"/>
  </r>
  <r>
    <x v="1"/>
    <x v="1024"/>
    <x v="5"/>
  </r>
  <r>
    <x v="2"/>
    <x v="1024"/>
    <x v="0"/>
  </r>
  <r>
    <x v="3"/>
    <x v="1024"/>
    <x v="4"/>
  </r>
  <r>
    <x v="0"/>
    <x v="1024"/>
    <x v="6"/>
  </r>
  <r>
    <x v="8"/>
    <x v="1025"/>
    <x v="0"/>
  </r>
  <r>
    <x v="4"/>
    <x v="1025"/>
    <x v="0"/>
  </r>
  <r>
    <x v="5"/>
    <x v="1025"/>
    <x v="6"/>
  </r>
  <r>
    <x v="6"/>
    <x v="1025"/>
    <x v="10"/>
  </r>
  <r>
    <x v="7"/>
    <x v="1025"/>
    <x v="0"/>
  </r>
  <r>
    <x v="2"/>
    <x v="1026"/>
    <x v="0"/>
  </r>
  <r>
    <x v="8"/>
    <x v="1026"/>
    <x v="0"/>
  </r>
  <r>
    <x v="4"/>
    <x v="1026"/>
    <x v="0"/>
  </r>
  <r>
    <x v="6"/>
    <x v="1026"/>
    <x v="0"/>
  </r>
  <r>
    <x v="10"/>
    <x v="1027"/>
    <x v="114"/>
  </r>
  <r>
    <x v="1"/>
    <x v="1027"/>
    <x v="43"/>
  </r>
  <r>
    <x v="1"/>
    <x v="1027"/>
    <x v="1"/>
  </r>
  <r>
    <x v="2"/>
    <x v="1027"/>
    <x v="94"/>
  </r>
  <r>
    <x v="3"/>
    <x v="1027"/>
    <x v="1"/>
  </r>
  <r>
    <x v="9"/>
    <x v="1027"/>
    <x v="18"/>
  </r>
  <r>
    <x v="0"/>
    <x v="1027"/>
    <x v="2"/>
  </r>
  <r>
    <x v="8"/>
    <x v="1027"/>
    <x v="1"/>
  </r>
  <r>
    <x v="4"/>
    <x v="1027"/>
    <x v="11"/>
  </r>
  <r>
    <x v="6"/>
    <x v="1027"/>
    <x v="3"/>
  </r>
  <r>
    <x v="7"/>
    <x v="1027"/>
    <x v="4"/>
  </r>
  <r>
    <x v="2"/>
    <x v="1028"/>
    <x v="0"/>
  </r>
  <r>
    <x v="9"/>
    <x v="1028"/>
    <x v="0"/>
  </r>
  <r>
    <x v="8"/>
    <x v="1028"/>
    <x v="0"/>
  </r>
  <r>
    <x v="4"/>
    <x v="1028"/>
    <x v="1"/>
  </r>
  <r>
    <x v="5"/>
    <x v="1028"/>
    <x v="0"/>
  </r>
  <r>
    <x v="6"/>
    <x v="1028"/>
    <x v="4"/>
  </r>
  <r>
    <x v="7"/>
    <x v="1028"/>
    <x v="4"/>
  </r>
  <r>
    <x v="0"/>
    <x v="1029"/>
    <x v="0"/>
  </r>
  <r>
    <x v="10"/>
    <x v="1030"/>
    <x v="1"/>
  </r>
  <r>
    <x v="1"/>
    <x v="1030"/>
    <x v="1"/>
  </r>
  <r>
    <x v="10"/>
    <x v="1031"/>
    <x v="1"/>
  </r>
  <r>
    <x v="1"/>
    <x v="1031"/>
    <x v="0"/>
  </r>
  <r>
    <x v="9"/>
    <x v="1031"/>
    <x v="1"/>
  </r>
  <r>
    <x v="4"/>
    <x v="1031"/>
    <x v="0"/>
  </r>
  <r>
    <x v="5"/>
    <x v="1031"/>
    <x v="0"/>
  </r>
  <r>
    <x v="10"/>
    <x v="1032"/>
    <x v="0"/>
  </r>
  <r>
    <x v="9"/>
    <x v="1032"/>
    <x v="0"/>
  </r>
  <r>
    <x v="2"/>
    <x v="1033"/>
    <x v="94"/>
  </r>
  <r>
    <x v="10"/>
    <x v="1034"/>
    <x v="0"/>
  </r>
  <r>
    <x v="1"/>
    <x v="1035"/>
    <x v="1"/>
  </r>
  <r>
    <x v="2"/>
    <x v="1035"/>
    <x v="1"/>
  </r>
  <r>
    <x v="3"/>
    <x v="1035"/>
    <x v="1"/>
  </r>
  <r>
    <x v="9"/>
    <x v="1035"/>
    <x v="1"/>
  </r>
  <r>
    <x v="0"/>
    <x v="1035"/>
    <x v="2"/>
  </r>
  <r>
    <x v="4"/>
    <x v="1035"/>
    <x v="1"/>
  </r>
  <r>
    <x v="5"/>
    <x v="1035"/>
    <x v="4"/>
  </r>
  <r>
    <x v="6"/>
    <x v="1035"/>
    <x v="4"/>
  </r>
  <r>
    <x v="7"/>
    <x v="1035"/>
    <x v="0"/>
  </r>
  <r>
    <x v="1"/>
    <x v="1036"/>
    <x v="0"/>
  </r>
  <r>
    <x v="2"/>
    <x v="1036"/>
    <x v="0"/>
  </r>
  <r>
    <x v="0"/>
    <x v="1036"/>
    <x v="1"/>
  </r>
  <r>
    <x v="5"/>
    <x v="1036"/>
    <x v="0"/>
  </r>
  <r>
    <x v="6"/>
    <x v="1036"/>
    <x v="4"/>
  </r>
  <r>
    <x v="7"/>
    <x v="1036"/>
    <x v="0"/>
  </r>
  <r>
    <x v="5"/>
    <x v="1037"/>
    <x v="0"/>
  </r>
  <r>
    <x v="6"/>
    <x v="1037"/>
    <x v="0"/>
  </r>
  <r>
    <x v="10"/>
    <x v="1038"/>
    <x v="0"/>
  </r>
  <r>
    <x v="2"/>
    <x v="1038"/>
    <x v="0"/>
  </r>
  <r>
    <x v="3"/>
    <x v="1038"/>
    <x v="1"/>
  </r>
  <r>
    <x v="9"/>
    <x v="1038"/>
    <x v="0"/>
  </r>
  <r>
    <x v="8"/>
    <x v="1038"/>
    <x v="0"/>
  </r>
  <r>
    <x v="10"/>
    <x v="1039"/>
    <x v="0"/>
  </r>
  <r>
    <x v="2"/>
    <x v="1039"/>
    <x v="0"/>
  </r>
  <r>
    <x v="9"/>
    <x v="1039"/>
    <x v="0"/>
  </r>
  <r>
    <x v="0"/>
    <x v="1039"/>
    <x v="3"/>
  </r>
  <r>
    <x v="4"/>
    <x v="1039"/>
    <x v="0"/>
  </r>
  <r>
    <x v="5"/>
    <x v="1039"/>
    <x v="0"/>
  </r>
  <r>
    <x v="6"/>
    <x v="1039"/>
    <x v="0"/>
  </r>
  <r>
    <x v="10"/>
    <x v="1040"/>
    <x v="0"/>
  </r>
  <r>
    <x v="0"/>
    <x v="1040"/>
    <x v="0"/>
  </r>
  <r>
    <x v="5"/>
    <x v="1040"/>
    <x v="0"/>
  </r>
  <r>
    <x v="7"/>
    <x v="1040"/>
    <x v="0"/>
  </r>
  <r>
    <x v="10"/>
    <x v="1041"/>
    <x v="3"/>
  </r>
  <r>
    <x v="1"/>
    <x v="1041"/>
    <x v="4"/>
  </r>
  <r>
    <x v="2"/>
    <x v="1041"/>
    <x v="47"/>
  </r>
  <r>
    <x v="3"/>
    <x v="1041"/>
    <x v="3"/>
  </r>
  <r>
    <x v="9"/>
    <x v="1041"/>
    <x v="4"/>
  </r>
  <r>
    <x v="0"/>
    <x v="1041"/>
    <x v="0"/>
  </r>
  <r>
    <x v="8"/>
    <x v="1041"/>
    <x v="1"/>
  </r>
  <r>
    <x v="4"/>
    <x v="1041"/>
    <x v="4"/>
  </r>
  <r>
    <x v="5"/>
    <x v="1041"/>
    <x v="7"/>
  </r>
  <r>
    <x v="6"/>
    <x v="1041"/>
    <x v="0"/>
  </r>
  <r>
    <x v="10"/>
    <x v="1042"/>
    <x v="10"/>
  </r>
  <r>
    <x v="1"/>
    <x v="1042"/>
    <x v="49"/>
  </r>
  <r>
    <x v="2"/>
    <x v="1042"/>
    <x v="5"/>
  </r>
  <r>
    <x v="3"/>
    <x v="1042"/>
    <x v="10"/>
  </r>
  <r>
    <x v="9"/>
    <x v="1042"/>
    <x v="9"/>
  </r>
  <r>
    <x v="0"/>
    <x v="1042"/>
    <x v="5"/>
  </r>
  <r>
    <x v="8"/>
    <x v="1042"/>
    <x v="9"/>
  </r>
  <r>
    <x v="4"/>
    <x v="1042"/>
    <x v="9"/>
  </r>
  <r>
    <x v="5"/>
    <x v="1042"/>
    <x v="9"/>
  </r>
  <r>
    <x v="6"/>
    <x v="1042"/>
    <x v="6"/>
  </r>
  <r>
    <x v="7"/>
    <x v="1042"/>
    <x v="2"/>
  </r>
  <r>
    <x v="0"/>
    <x v="1043"/>
    <x v="0"/>
  </r>
  <r>
    <x v="6"/>
    <x v="1043"/>
    <x v="0"/>
  </r>
  <r>
    <x v="10"/>
    <x v="1044"/>
    <x v="0"/>
  </r>
  <r>
    <x v="1"/>
    <x v="1044"/>
    <x v="0"/>
  </r>
  <r>
    <x v="2"/>
    <x v="1044"/>
    <x v="1"/>
  </r>
  <r>
    <x v="0"/>
    <x v="1044"/>
    <x v="0"/>
  </r>
  <r>
    <x v="5"/>
    <x v="1044"/>
    <x v="0"/>
  </r>
  <r>
    <x v="7"/>
    <x v="1044"/>
    <x v="0"/>
  </r>
  <r>
    <x v="10"/>
    <x v="1045"/>
    <x v="1"/>
  </r>
  <r>
    <x v="10"/>
    <x v="1046"/>
    <x v="31"/>
  </r>
  <r>
    <x v="1"/>
    <x v="1046"/>
    <x v="70"/>
  </r>
  <r>
    <x v="2"/>
    <x v="1046"/>
    <x v="110"/>
  </r>
  <r>
    <x v="3"/>
    <x v="1046"/>
    <x v="30"/>
  </r>
  <r>
    <x v="9"/>
    <x v="1046"/>
    <x v="39"/>
  </r>
  <r>
    <x v="0"/>
    <x v="1046"/>
    <x v="104"/>
  </r>
  <r>
    <x v="8"/>
    <x v="1046"/>
    <x v="67"/>
  </r>
  <r>
    <x v="4"/>
    <x v="1046"/>
    <x v="58"/>
  </r>
  <r>
    <x v="5"/>
    <x v="1046"/>
    <x v="72"/>
  </r>
  <r>
    <x v="6"/>
    <x v="1046"/>
    <x v="72"/>
  </r>
  <r>
    <x v="7"/>
    <x v="1046"/>
    <x v="159"/>
  </r>
  <r>
    <x v="7"/>
    <x v="1047"/>
    <x v="0"/>
  </r>
  <r>
    <x v="1"/>
    <x v="1048"/>
    <x v="0"/>
  </r>
  <r>
    <x v="10"/>
    <x v="1049"/>
    <x v="44"/>
  </r>
  <r>
    <x v="1"/>
    <x v="1049"/>
    <x v="50"/>
  </r>
  <r>
    <x v="2"/>
    <x v="1049"/>
    <x v="9"/>
  </r>
  <r>
    <x v="3"/>
    <x v="1049"/>
    <x v="52"/>
  </r>
  <r>
    <x v="9"/>
    <x v="1049"/>
    <x v="12"/>
  </r>
  <r>
    <x v="0"/>
    <x v="1049"/>
    <x v="10"/>
  </r>
  <r>
    <x v="8"/>
    <x v="1049"/>
    <x v="8"/>
  </r>
  <r>
    <x v="4"/>
    <x v="1049"/>
    <x v="51"/>
  </r>
  <r>
    <x v="5"/>
    <x v="1049"/>
    <x v="59"/>
  </r>
  <r>
    <x v="6"/>
    <x v="1049"/>
    <x v="45"/>
  </r>
  <r>
    <x v="7"/>
    <x v="1049"/>
    <x v="43"/>
  </r>
  <r>
    <x v="10"/>
    <x v="1050"/>
    <x v="9"/>
  </r>
  <r>
    <x v="1"/>
    <x v="1050"/>
    <x v="7"/>
  </r>
  <r>
    <x v="2"/>
    <x v="1050"/>
    <x v="6"/>
  </r>
  <r>
    <x v="3"/>
    <x v="1050"/>
    <x v="1"/>
  </r>
  <r>
    <x v="9"/>
    <x v="1050"/>
    <x v="10"/>
  </r>
  <r>
    <x v="0"/>
    <x v="1050"/>
    <x v="71"/>
  </r>
  <r>
    <x v="8"/>
    <x v="1050"/>
    <x v="4"/>
  </r>
  <r>
    <x v="5"/>
    <x v="1050"/>
    <x v="0"/>
  </r>
  <r>
    <x v="6"/>
    <x v="1050"/>
    <x v="2"/>
  </r>
  <r>
    <x v="7"/>
    <x v="1050"/>
    <x v="10"/>
  </r>
  <r>
    <x v="2"/>
    <x v="1051"/>
    <x v="0"/>
  </r>
  <r>
    <x v="9"/>
    <x v="1051"/>
    <x v="1"/>
  </r>
  <r>
    <x v="0"/>
    <x v="1051"/>
    <x v="0"/>
  </r>
  <r>
    <x v="5"/>
    <x v="1051"/>
    <x v="0"/>
  </r>
  <r>
    <x v="3"/>
    <x v="1052"/>
    <x v="0"/>
  </r>
  <r>
    <x v="10"/>
    <x v="1053"/>
    <x v="0"/>
  </r>
  <r>
    <x v="9"/>
    <x v="1053"/>
    <x v="0"/>
  </r>
  <r>
    <x v="0"/>
    <x v="1053"/>
    <x v="0"/>
  </r>
  <r>
    <x v="8"/>
    <x v="1053"/>
    <x v="1"/>
  </r>
  <r>
    <x v="4"/>
    <x v="1053"/>
    <x v="2"/>
  </r>
  <r>
    <x v="10"/>
    <x v="1054"/>
    <x v="10"/>
  </r>
  <r>
    <x v="3"/>
    <x v="1054"/>
    <x v="4"/>
  </r>
  <r>
    <x v="9"/>
    <x v="1054"/>
    <x v="4"/>
  </r>
  <r>
    <x v="0"/>
    <x v="1054"/>
    <x v="0"/>
  </r>
  <r>
    <x v="8"/>
    <x v="1054"/>
    <x v="6"/>
  </r>
  <r>
    <x v="4"/>
    <x v="1054"/>
    <x v="71"/>
  </r>
  <r>
    <x v="5"/>
    <x v="1054"/>
    <x v="2"/>
  </r>
  <r>
    <x v="6"/>
    <x v="1054"/>
    <x v="9"/>
  </r>
  <r>
    <x v="7"/>
    <x v="1054"/>
    <x v="2"/>
  </r>
  <r>
    <x v="10"/>
    <x v="1055"/>
    <x v="0"/>
  </r>
  <r>
    <x v="1"/>
    <x v="1055"/>
    <x v="2"/>
  </r>
  <r>
    <x v="2"/>
    <x v="1055"/>
    <x v="1"/>
  </r>
  <r>
    <x v="3"/>
    <x v="1055"/>
    <x v="1"/>
  </r>
  <r>
    <x v="8"/>
    <x v="1055"/>
    <x v="1"/>
  </r>
  <r>
    <x v="5"/>
    <x v="1055"/>
    <x v="4"/>
  </r>
  <r>
    <x v="10"/>
    <x v="1056"/>
    <x v="2"/>
  </r>
  <r>
    <x v="1"/>
    <x v="1056"/>
    <x v="4"/>
  </r>
  <r>
    <x v="3"/>
    <x v="1056"/>
    <x v="1"/>
  </r>
  <r>
    <x v="9"/>
    <x v="1056"/>
    <x v="1"/>
  </r>
  <r>
    <x v="4"/>
    <x v="1056"/>
    <x v="0"/>
  </r>
  <r>
    <x v="5"/>
    <x v="1056"/>
    <x v="1"/>
  </r>
  <r>
    <x v="7"/>
    <x v="1056"/>
    <x v="0"/>
  </r>
  <r>
    <x v="4"/>
    <x v="1057"/>
    <x v="0"/>
  </r>
  <r>
    <x v="7"/>
    <x v="1057"/>
    <x v="1"/>
  </r>
  <r>
    <x v="8"/>
    <x v="1058"/>
    <x v="4"/>
  </r>
  <r>
    <x v="10"/>
    <x v="1059"/>
    <x v="1"/>
  </r>
  <r>
    <x v="1"/>
    <x v="1059"/>
    <x v="0"/>
  </r>
  <r>
    <x v="2"/>
    <x v="1059"/>
    <x v="1"/>
  </r>
  <r>
    <x v="3"/>
    <x v="1059"/>
    <x v="2"/>
  </r>
  <r>
    <x v="0"/>
    <x v="1059"/>
    <x v="0"/>
  </r>
  <r>
    <x v="8"/>
    <x v="1059"/>
    <x v="1"/>
  </r>
  <r>
    <x v="4"/>
    <x v="1059"/>
    <x v="4"/>
  </r>
  <r>
    <x v="5"/>
    <x v="1059"/>
    <x v="5"/>
  </r>
  <r>
    <x v="6"/>
    <x v="1059"/>
    <x v="1"/>
  </r>
  <r>
    <x v="7"/>
    <x v="1059"/>
    <x v="0"/>
  </r>
  <r>
    <x v="2"/>
    <x v="1060"/>
    <x v="1"/>
  </r>
  <r>
    <x v="9"/>
    <x v="1060"/>
    <x v="1"/>
  </r>
  <r>
    <x v="8"/>
    <x v="1060"/>
    <x v="0"/>
  </r>
  <r>
    <x v="4"/>
    <x v="1060"/>
    <x v="0"/>
  </r>
  <r>
    <x v="7"/>
    <x v="1060"/>
    <x v="0"/>
  </r>
  <r>
    <x v="10"/>
    <x v="1061"/>
    <x v="1"/>
  </r>
  <r>
    <x v="1"/>
    <x v="1061"/>
    <x v="0"/>
  </r>
  <r>
    <x v="2"/>
    <x v="1061"/>
    <x v="0"/>
  </r>
  <r>
    <x v="6"/>
    <x v="1061"/>
    <x v="1"/>
  </r>
  <r>
    <x v="0"/>
    <x v="1062"/>
    <x v="1"/>
  </r>
  <r>
    <x v="10"/>
    <x v="1063"/>
    <x v="1"/>
  </r>
  <r>
    <x v="9"/>
    <x v="1063"/>
    <x v="0"/>
  </r>
  <r>
    <x v="0"/>
    <x v="1063"/>
    <x v="0"/>
  </r>
  <r>
    <x v="6"/>
    <x v="1063"/>
    <x v="0"/>
  </r>
  <r>
    <x v="10"/>
    <x v="1064"/>
    <x v="1"/>
  </r>
  <r>
    <x v="1"/>
    <x v="1064"/>
    <x v="6"/>
  </r>
  <r>
    <x v="8"/>
    <x v="1064"/>
    <x v="4"/>
  </r>
  <r>
    <x v="4"/>
    <x v="1064"/>
    <x v="0"/>
  </r>
  <r>
    <x v="5"/>
    <x v="1064"/>
    <x v="2"/>
  </r>
  <r>
    <x v="6"/>
    <x v="1064"/>
    <x v="4"/>
  </r>
  <r>
    <x v="7"/>
    <x v="1064"/>
    <x v="1"/>
  </r>
  <r>
    <x v="1"/>
    <x v="1065"/>
    <x v="0"/>
  </r>
  <r>
    <x v="5"/>
    <x v="1065"/>
    <x v="0"/>
  </r>
  <r>
    <x v="10"/>
    <x v="1066"/>
    <x v="1"/>
  </r>
  <r>
    <x v="1"/>
    <x v="1066"/>
    <x v="0"/>
  </r>
  <r>
    <x v="3"/>
    <x v="1066"/>
    <x v="1"/>
  </r>
  <r>
    <x v="8"/>
    <x v="1066"/>
    <x v="4"/>
  </r>
  <r>
    <x v="5"/>
    <x v="1066"/>
    <x v="0"/>
  </r>
  <r>
    <x v="6"/>
    <x v="1066"/>
    <x v="0"/>
  </r>
  <r>
    <x v="7"/>
    <x v="1066"/>
    <x v="0"/>
  </r>
  <r>
    <x v="10"/>
    <x v="1067"/>
    <x v="1"/>
  </r>
  <r>
    <x v="1"/>
    <x v="1067"/>
    <x v="0"/>
  </r>
  <r>
    <x v="2"/>
    <x v="1067"/>
    <x v="4"/>
  </r>
  <r>
    <x v="3"/>
    <x v="1067"/>
    <x v="0"/>
  </r>
  <r>
    <x v="9"/>
    <x v="1067"/>
    <x v="0"/>
  </r>
  <r>
    <x v="5"/>
    <x v="1067"/>
    <x v="2"/>
  </r>
  <r>
    <x v="7"/>
    <x v="1067"/>
    <x v="1"/>
  </r>
  <r>
    <x v="1"/>
    <x v="1068"/>
    <x v="4"/>
  </r>
  <r>
    <x v="4"/>
    <x v="1068"/>
    <x v="4"/>
  </r>
  <r>
    <x v="10"/>
    <x v="1069"/>
    <x v="0"/>
  </r>
  <r>
    <x v="2"/>
    <x v="1069"/>
    <x v="0"/>
  </r>
  <r>
    <x v="9"/>
    <x v="1069"/>
    <x v="0"/>
  </r>
  <r>
    <x v="0"/>
    <x v="1069"/>
    <x v="2"/>
  </r>
  <r>
    <x v="8"/>
    <x v="1069"/>
    <x v="1"/>
  </r>
  <r>
    <x v="4"/>
    <x v="1069"/>
    <x v="6"/>
  </r>
  <r>
    <x v="5"/>
    <x v="1069"/>
    <x v="10"/>
  </r>
  <r>
    <x v="6"/>
    <x v="1069"/>
    <x v="2"/>
  </r>
  <r>
    <x v="7"/>
    <x v="1069"/>
    <x v="1"/>
  </r>
  <r>
    <x v="6"/>
    <x v="1070"/>
    <x v="0"/>
  </r>
  <r>
    <x v="1"/>
    <x v="1071"/>
    <x v="0"/>
  </r>
  <r>
    <x v="1"/>
    <x v="1072"/>
    <x v="0"/>
  </r>
  <r>
    <x v="3"/>
    <x v="1072"/>
    <x v="0"/>
  </r>
  <r>
    <x v="3"/>
    <x v="1073"/>
    <x v="1"/>
  </r>
  <r>
    <x v="9"/>
    <x v="1073"/>
    <x v="11"/>
  </r>
  <r>
    <x v="5"/>
    <x v="1073"/>
    <x v="5"/>
  </r>
  <r>
    <x v="0"/>
    <x v="1074"/>
    <x v="0"/>
  </r>
  <r>
    <x v="10"/>
    <x v="1075"/>
    <x v="0"/>
  </r>
  <r>
    <x v="1"/>
    <x v="1075"/>
    <x v="0"/>
  </r>
  <r>
    <x v="9"/>
    <x v="1075"/>
    <x v="1"/>
  </r>
  <r>
    <x v="4"/>
    <x v="1075"/>
    <x v="1"/>
  </r>
  <r>
    <x v="10"/>
    <x v="1076"/>
    <x v="75"/>
  </r>
  <r>
    <x v="1"/>
    <x v="1076"/>
    <x v="94"/>
  </r>
  <r>
    <x v="2"/>
    <x v="1076"/>
    <x v="71"/>
  </r>
  <r>
    <x v="3"/>
    <x v="1076"/>
    <x v="4"/>
  </r>
  <r>
    <x v="9"/>
    <x v="1076"/>
    <x v="6"/>
  </r>
  <r>
    <x v="0"/>
    <x v="1076"/>
    <x v="4"/>
  </r>
  <r>
    <x v="8"/>
    <x v="1076"/>
    <x v="10"/>
  </r>
  <r>
    <x v="4"/>
    <x v="1076"/>
    <x v="5"/>
  </r>
  <r>
    <x v="5"/>
    <x v="1076"/>
    <x v="7"/>
  </r>
  <r>
    <x v="6"/>
    <x v="1076"/>
    <x v="5"/>
  </r>
  <r>
    <x v="7"/>
    <x v="1076"/>
    <x v="13"/>
  </r>
  <r>
    <x v="10"/>
    <x v="1077"/>
    <x v="68"/>
  </r>
  <r>
    <x v="1"/>
    <x v="1077"/>
    <x v="18"/>
  </r>
  <r>
    <x v="2"/>
    <x v="1077"/>
    <x v="2"/>
  </r>
  <r>
    <x v="0"/>
    <x v="1077"/>
    <x v="2"/>
  </r>
  <r>
    <x v="8"/>
    <x v="1077"/>
    <x v="3"/>
  </r>
  <r>
    <x v="5"/>
    <x v="1077"/>
    <x v="0"/>
  </r>
  <r>
    <x v="10"/>
    <x v="1078"/>
    <x v="0"/>
  </r>
  <r>
    <x v="1"/>
    <x v="1078"/>
    <x v="0"/>
  </r>
  <r>
    <x v="4"/>
    <x v="1079"/>
    <x v="0"/>
  </r>
  <r>
    <x v="1"/>
    <x v="1080"/>
    <x v="0"/>
  </r>
  <r>
    <x v="5"/>
    <x v="1080"/>
    <x v="1"/>
  </r>
  <r>
    <x v="6"/>
    <x v="1080"/>
    <x v="0"/>
  </r>
  <r>
    <x v="10"/>
    <x v="1081"/>
    <x v="0"/>
  </r>
  <r>
    <x v="9"/>
    <x v="1081"/>
    <x v="0"/>
  </r>
  <r>
    <x v="5"/>
    <x v="1081"/>
    <x v="0"/>
  </r>
  <r>
    <x v="6"/>
    <x v="1081"/>
    <x v="3"/>
  </r>
  <r>
    <x v="7"/>
    <x v="1081"/>
    <x v="0"/>
  </r>
  <r>
    <x v="1"/>
    <x v="1082"/>
    <x v="3"/>
  </r>
  <r>
    <x v="3"/>
    <x v="1082"/>
    <x v="1"/>
  </r>
  <r>
    <x v="5"/>
    <x v="1082"/>
    <x v="0"/>
  </r>
  <r>
    <x v="6"/>
    <x v="1082"/>
    <x v="1"/>
  </r>
  <r>
    <x v="7"/>
    <x v="1082"/>
    <x v="1"/>
  </r>
  <r>
    <x v="1"/>
    <x v="1083"/>
    <x v="3"/>
  </r>
  <r>
    <x v="0"/>
    <x v="1083"/>
    <x v="10"/>
  </r>
  <r>
    <x v="8"/>
    <x v="1083"/>
    <x v="5"/>
  </r>
  <r>
    <x v="10"/>
    <x v="1084"/>
    <x v="2"/>
  </r>
  <r>
    <x v="1"/>
    <x v="1084"/>
    <x v="0"/>
  </r>
  <r>
    <x v="3"/>
    <x v="1084"/>
    <x v="0"/>
  </r>
  <r>
    <x v="0"/>
    <x v="1084"/>
    <x v="0"/>
  </r>
  <r>
    <x v="8"/>
    <x v="1084"/>
    <x v="1"/>
  </r>
  <r>
    <x v="4"/>
    <x v="1084"/>
    <x v="0"/>
  </r>
  <r>
    <x v="5"/>
    <x v="1084"/>
    <x v="4"/>
  </r>
  <r>
    <x v="6"/>
    <x v="1084"/>
    <x v="0"/>
  </r>
  <r>
    <x v="7"/>
    <x v="1084"/>
    <x v="0"/>
  </r>
  <r>
    <x v="10"/>
    <x v="1085"/>
    <x v="0"/>
  </r>
  <r>
    <x v="7"/>
    <x v="1086"/>
    <x v="0"/>
  </r>
  <r>
    <x v="2"/>
    <x v="1087"/>
    <x v="1"/>
  </r>
  <r>
    <x v="10"/>
    <x v="1088"/>
    <x v="0"/>
  </r>
  <r>
    <x v="9"/>
    <x v="1088"/>
    <x v="0"/>
  </r>
  <r>
    <x v="8"/>
    <x v="1088"/>
    <x v="0"/>
  </r>
  <r>
    <x v="4"/>
    <x v="1088"/>
    <x v="0"/>
  </r>
  <r>
    <x v="5"/>
    <x v="1088"/>
    <x v="0"/>
  </r>
  <r>
    <x v="1"/>
    <x v="1089"/>
    <x v="0"/>
  </r>
  <r>
    <x v="2"/>
    <x v="1089"/>
    <x v="1"/>
  </r>
  <r>
    <x v="9"/>
    <x v="1089"/>
    <x v="0"/>
  </r>
  <r>
    <x v="0"/>
    <x v="1089"/>
    <x v="0"/>
  </r>
  <r>
    <x v="6"/>
    <x v="1089"/>
    <x v="0"/>
  </r>
  <r>
    <x v="7"/>
    <x v="1089"/>
    <x v="2"/>
  </r>
  <r>
    <x v="2"/>
    <x v="1090"/>
    <x v="0"/>
  </r>
  <r>
    <x v="8"/>
    <x v="1090"/>
    <x v="0"/>
  </r>
  <r>
    <x v="5"/>
    <x v="1090"/>
    <x v="0"/>
  </r>
  <r>
    <x v="6"/>
    <x v="1091"/>
    <x v="0"/>
  </r>
  <r>
    <x v="4"/>
    <x v="1092"/>
    <x v="0"/>
  </r>
  <r>
    <x v="4"/>
    <x v="1093"/>
    <x v="0"/>
  </r>
  <r>
    <x v="4"/>
    <x v="1094"/>
    <x v="1"/>
  </r>
  <r>
    <x v="1"/>
    <x v="1095"/>
    <x v="0"/>
  </r>
  <r>
    <x v="7"/>
    <x v="1096"/>
    <x v="0"/>
  </r>
  <r>
    <x v="5"/>
    <x v="1097"/>
    <x v="0"/>
  </r>
  <r>
    <x v="7"/>
    <x v="1097"/>
    <x v="0"/>
  </r>
  <r>
    <x v="6"/>
    <x v="1098"/>
    <x v="0"/>
  </r>
  <r>
    <x v="7"/>
    <x v="1098"/>
    <x v="0"/>
  </r>
  <r>
    <x v="0"/>
    <x v="1099"/>
    <x v="1"/>
  </r>
  <r>
    <x v="4"/>
    <x v="1099"/>
    <x v="1"/>
  </r>
  <r>
    <x v="3"/>
    <x v="1100"/>
    <x v="0"/>
  </r>
  <r>
    <x v="1"/>
    <x v="1101"/>
    <x v="1"/>
  </r>
  <r>
    <x v="4"/>
    <x v="1101"/>
    <x v="0"/>
  </r>
  <r>
    <x v="5"/>
    <x v="1101"/>
    <x v="0"/>
  </r>
  <r>
    <x v="3"/>
    <x v="1102"/>
    <x v="0"/>
  </r>
  <r>
    <x v="10"/>
    <x v="1103"/>
    <x v="1"/>
  </r>
  <r>
    <x v="10"/>
    <x v="1104"/>
    <x v="0"/>
  </r>
  <r>
    <x v="9"/>
    <x v="1104"/>
    <x v="0"/>
  </r>
  <r>
    <x v="6"/>
    <x v="1105"/>
    <x v="0"/>
  </r>
  <r>
    <x v="1"/>
    <x v="1106"/>
    <x v="1"/>
  </r>
  <r>
    <x v="2"/>
    <x v="1106"/>
    <x v="0"/>
  </r>
  <r>
    <x v="0"/>
    <x v="1106"/>
    <x v="0"/>
  </r>
  <r>
    <x v="8"/>
    <x v="1106"/>
    <x v="3"/>
  </r>
  <r>
    <x v="6"/>
    <x v="1106"/>
    <x v="1"/>
  </r>
  <r>
    <x v="10"/>
    <x v="1107"/>
    <x v="49"/>
  </r>
  <r>
    <x v="1"/>
    <x v="1107"/>
    <x v="77"/>
  </r>
  <r>
    <x v="2"/>
    <x v="1107"/>
    <x v="47"/>
  </r>
  <r>
    <x v="3"/>
    <x v="1107"/>
    <x v="10"/>
  </r>
  <r>
    <x v="9"/>
    <x v="1107"/>
    <x v="10"/>
  </r>
  <r>
    <x v="0"/>
    <x v="1107"/>
    <x v="21"/>
  </r>
  <r>
    <x v="8"/>
    <x v="1107"/>
    <x v="65"/>
  </r>
  <r>
    <x v="4"/>
    <x v="1107"/>
    <x v="18"/>
  </r>
  <r>
    <x v="6"/>
    <x v="1107"/>
    <x v="64"/>
  </r>
  <r>
    <x v="10"/>
    <x v="1108"/>
    <x v="0"/>
  </r>
  <r>
    <x v="0"/>
    <x v="110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B4:N1115" firstHeaderRow="1" firstDataRow="2" firstDataCol="1"/>
  <pivotFields count="3">
    <pivotField axis="axisCol" compact="0" outline="0" showAll="0">
      <items count="12">
        <item n="SEPTIEMBRE" x="10"/>
        <item n="OCTUBRE" x="1"/>
        <item n="NOVIEMBRE" x="2"/>
        <item n="DICIEMBRE" x="3"/>
        <item n="ENERO" x="9"/>
        <item n="FEBRERO" x="0"/>
        <item n="MARZO" x="8"/>
        <item n="ABRIL" x="4"/>
        <item n=" MAYO" x="5"/>
        <item n="JUNIO" x="6"/>
        <item n="JULIO" x="7"/>
        <item t="default"/>
      </items>
    </pivotField>
    <pivotField axis="axisRow" compact="0" outline="0" showAll="0">
      <items count="1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t="default"/>
      </items>
    </pivotField>
    <pivotField dataField="1" compact="0" outline="0" showAll="0">
      <items count="186">
        <item x="168"/>
        <item x="3"/>
        <item x="0"/>
        <item x="1"/>
        <item x="4"/>
        <item x="2"/>
        <item x="6"/>
        <item x="10"/>
        <item x="5"/>
        <item x="7"/>
        <item x="49"/>
        <item x="9"/>
        <item x="48"/>
        <item x="71"/>
        <item x="18"/>
        <item x="65"/>
        <item x="8"/>
        <item x="47"/>
        <item x="64"/>
        <item x="13"/>
        <item x="12"/>
        <item x="77"/>
        <item x="15"/>
        <item x="11"/>
        <item x="69"/>
        <item x="51"/>
        <item x="94"/>
        <item x="115"/>
        <item x="62"/>
        <item x="52"/>
        <item x="95"/>
        <item x="17"/>
        <item x="50"/>
        <item x="75"/>
        <item x="59"/>
        <item x="53"/>
        <item x="16"/>
        <item x="105"/>
        <item x="78"/>
        <item x="40"/>
        <item x="81"/>
        <item x="117"/>
        <item x="39"/>
        <item x="60"/>
        <item x="68"/>
        <item x="41"/>
        <item x="63"/>
        <item x="42"/>
        <item x="66"/>
        <item x="22"/>
        <item x="61"/>
        <item x="34"/>
        <item x="21"/>
        <item x="72"/>
        <item x="44"/>
        <item x="67"/>
        <item x="43"/>
        <item x="76"/>
        <item x="110"/>
        <item x="58"/>
        <item x="159"/>
        <item x="32"/>
        <item x="56"/>
        <item x="33"/>
        <item x="46"/>
        <item x="35"/>
        <item x="104"/>
        <item x="23"/>
        <item x="20"/>
        <item x="129"/>
        <item x="31"/>
        <item x="38"/>
        <item x="70"/>
        <item x="148"/>
        <item x="36"/>
        <item x="74"/>
        <item x="45"/>
        <item x="107"/>
        <item x="79"/>
        <item x="30"/>
        <item x="27"/>
        <item x="73"/>
        <item x="82"/>
        <item x="24"/>
        <item x="29"/>
        <item x="25"/>
        <item x="97"/>
        <item x="119"/>
        <item x="57"/>
        <item x="123"/>
        <item x="26"/>
        <item x="163"/>
        <item x="28"/>
        <item x="99"/>
        <item x="87"/>
        <item x="103"/>
        <item x="90"/>
        <item x="102"/>
        <item x="83"/>
        <item x="19"/>
        <item x="120"/>
        <item x="183"/>
        <item x="116"/>
        <item x="84"/>
        <item x="98"/>
        <item x="133"/>
        <item x="145"/>
        <item x="169"/>
        <item x="37"/>
        <item x="80"/>
        <item x="122"/>
        <item x="113"/>
        <item x="54"/>
        <item x="125"/>
        <item x="126"/>
        <item x="88"/>
        <item x="114"/>
        <item x="124"/>
        <item x="55"/>
        <item x="100"/>
        <item x="96"/>
        <item x="128"/>
        <item x="85"/>
        <item x="86"/>
        <item x="147"/>
        <item x="109"/>
        <item x="181"/>
        <item x="101"/>
        <item x="131"/>
        <item x="182"/>
        <item x="164"/>
        <item x="166"/>
        <item x="108"/>
        <item x="162"/>
        <item x="121"/>
        <item x="146"/>
        <item x="89"/>
        <item x="160"/>
        <item x="167"/>
        <item x="184"/>
        <item x="93"/>
        <item x="132"/>
        <item x="165"/>
        <item x="118"/>
        <item x="111"/>
        <item x="130"/>
        <item x="106"/>
        <item x="127"/>
        <item x="150"/>
        <item x="161"/>
        <item x="141"/>
        <item x="137"/>
        <item x="140"/>
        <item x="136"/>
        <item x="144"/>
        <item x="151"/>
        <item x="138"/>
        <item x="142"/>
        <item x="135"/>
        <item x="155"/>
        <item x="152"/>
        <item x="156"/>
        <item x="149"/>
        <item x="143"/>
        <item x="92"/>
        <item x="112"/>
        <item x="153"/>
        <item x="154"/>
        <item x="134"/>
        <item x="139"/>
        <item x="158"/>
        <item x="157"/>
        <item x="91"/>
        <item x="173"/>
        <item x="178"/>
        <item x="172"/>
        <item x="171"/>
        <item x="174"/>
        <item x="177"/>
        <item x="180"/>
        <item x="175"/>
        <item x="170"/>
        <item x="176"/>
        <item x="179"/>
        <item x="14"/>
        <item t="default"/>
      </items>
    </pivotField>
  </pivotFields>
  <rowFields count="1">
    <field x="1"/>
  </rowFields>
  <rowItems count="1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a de DESPLAZAMIENTO" fld="2" baseField="0" baseItem="0"/>
  </dataFields>
  <formats count="35">
    <format dxfId="34">
      <pivotArea dataOnly="0" labelOnly="1" grandRow="1" outline="0" fieldPosition="0"/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0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1" type="button" dataOnly="0" labelOnly="1" outline="0" axis="axisRow" fieldPosition="0"/>
    </format>
    <format dxfId="2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2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1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0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9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8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7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6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5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4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2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1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8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7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5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4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3">
      <pivotArea dataOnly="0" labelOnly="1" outline="0" fieldPosition="0">
        <references count="1">
          <reference field="1" count="9">
            <x v="1100"/>
            <x v="1101"/>
            <x v="1102"/>
            <x v="1103"/>
            <x v="1104"/>
            <x v="1105"/>
            <x v="1106"/>
            <x v="1107"/>
            <x v="1108"/>
          </reference>
        </references>
      </pivotArea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54551"/>
      </a:dk2>
      <a:lt2>
        <a:srgbClr val="FF33CC"/>
      </a:lt2>
      <a:accent1>
        <a:srgbClr val="EFFFFF"/>
      </a:accent1>
      <a:accent2>
        <a:srgbClr val="C830CC"/>
      </a:accent2>
      <a:accent3>
        <a:srgbClr val="FFFFCC"/>
      </a:accent3>
      <a:accent4>
        <a:srgbClr val="CCFF33"/>
      </a:accent4>
      <a:accent5>
        <a:srgbClr val="EE81BD"/>
      </a:accent5>
      <a:accent6>
        <a:srgbClr val="FFC000"/>
      </a:accent6>
      <a:hlink>
        <a:srgbClr val="FFFF99"/>
      </a:hlink>
      <a:folHlink>
        <a:srgbClr val="CCFF33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B3:T1115"/>
  <sheetViews>
    <sheetView tabSelected="1" topLeftCell="B1" zoomScale="70" zoomScaleNormal="70" workbookViewId="0">
      <selection activeCell="E7" sqref="E7"/>
    </sheetView>
  </sheetViews>
  <sheetFormatPr baseColWidth="10" defaultRowHeight="15" x14ac:dyDescent="0.25"/>
  <cols>
    <col min="1" max="1" width="22.28515625" bestFit="1" customWidth="1"/>
    <col min="2" max="2" width="45.140625" bestFit="1" customWidth="1"/>
    <col min="3" max="3" width="5.85546875" customWidth="1"/>
    <col min="4" max="4" width="6.140625" customWidth="1"/>
    <col min="5" max="5" width="5.5703125" customWidth="1"/>
    <col min="6" max="6" width="8.85546875" customWidth="1"/>
    <col min="7" max="7" width="4.85546875" customWidth="1"/>
    <col min="8" max="8" width="5.42578125" customWidth="1"/>
    <col min="9" max="9" width="5.5703125" customWidth="1"/>
    <col min="10" max="10" width="5.85546875" customWidth="1"/>
    <col min="11" max="11" width="6.7109375" customWidth="1"/>
    <col min="12" max="13" width="5" customWidth="1"/>
    <col min="14" max="14" width="17.85546875" bestFit="1" customWidth="1"/>
    <col min="15" max="15" width="17.85546875" style="1" bestFit="1" customWidth="1"/>
    <col min="16" max="17" width="31.140625" style="1" customWidth="1"/>
    <col min="18" max="18" width="15.85546875" style="1" customWidth="1"/>
    <col min="19" max="19" width="18.85546875" style="1" customWidth="1"/>
    <col min="20" max="20" width="15.5703125" style="1" customWidth="1"/>
    <col min="21" max="21" width="2" customWidth="1"/>
    <col min="22" max="22" width="26.5703125" bestFit="1" customWidth="1"/>
    <col min="23" max="23" width="30.42578125" bestFit="1" customWidth="1"/>
    <col min="24" max="24" width="31.5703125" bestFit="1" customWidth="1"/>
    <col min="25" max="25" width="28.140625" bestFit="1" customWidth="1"/>
    <col min="26" max="26" width="32.140625" bestFit="1" customWidth="1"/>
    <col min="27" max="27" width="31" bestFit="1" customWidth="1"/>
    <col min="28" max="28" width="36.28515625" bestFit="1" customWidth="1"/>
    <col min="29" max="29" width="29.28515625" bestFit="1" customWidth="1"/>
    <col min="30" max="30" width="31.5703125" bestFit="1" customWidth="1"/>
    <col min="31" max="31" width="30.5703125" bestFit="1" customWidth="1"/>
    <col min="32" max="32" width="29.42578125" bestFit="1" customWidth="1"/>
    <col min="33" max="33" width="30.28515625" bestFit="1" customWidth="1"/>
    <col min="34" max="34" width="31.5703125" bestFit="1" customWidth="1"/>
    <col min="35" max="35" width="29.7109375" bestFit="1" customWidth="1"/>
    <col min="36" max="36" width="27.85546875" bestFit="1" customWidth="1"/>
    <col min="37" max="37" width="29.140625" bestFit="1" customWidth="1"/>
    <col min="38" max="38" width="27.5703125" bestFit="1" customWidth="1"/>
    <col min="39" max="40" width="25.85546875" bestFit="1" customWidth="1"/>
    <col min="41" max="41" width="28.7109375" bestFit="1" customWidth="1"/>
    <col min="42" max="43" width="34.140625" bestFit="1" customWidth="1"/>
    <col min="44" max="44" width="33.5703125" bestFit="1" customWidth="1"/>
    <col min="45" max="46" width="30.5703125" bestFit="1" customWidth="1"/>
    <col min="47" max="48" width="22.7109375" bestFit="1" customWidth="1"/>
    <col min="49" max="49" width="21.7109375" bestFit="1" customWidth="1"/>
    <col min="50" max="50" width="32.85546875" bestFit="1" customWidth="1"/>
    <col min="51" max="51" width="33.7109375" bestFit="1" customWidth="1"/>
    <col min="52" max="52" width="31.7109375" bestFit="1" customWidth="1"/>
    <col min="53" max="53" width="23.85546875" bestFit="1" customWidth="1"/>
    <col min="54" max="55" width="33.140625" bestFit="1" customWidth="1"/>
    <col min="56" max="56" width="20.85546875" bestFit="1" customWidth="1"/>
    <col min="57" max="57" width="25.85546875" bestFit="1" customWidth="1"/>
    <col min="58" max="58" width="33.28515625" bestFit="1" customWidth="1"/>
    <col min="59" max="59" width="27.42578125" bestFit="1" customWidth="1"/>
    <col min="60" max="60" width="22.28515625" bestFit="1" customWidth="1"/>
    <col min="61" max="62" width="28.5703125" bestFit="1" customWidth="1"/>
    <col min="63" max="63" width="26.42578125" bestFit="1" customWidth="1"/>
    <col min="64" max="64" width="25.42578125" bestFit="1" customWidth="1"/>
    <col min="65" max="65" width="18.28515625" bestFit="1" customWidth="1"/>
    <col min="66" max="66" width="28.85546875" bestFit="1" customWidth="1"/>
    <col min="67" max="67" width="29.42578125" bestFit="1" customWidth="1"/>
    <col min="68" max="68" width="32.42578125" bestFit="1" customWidth="1"/>
    <col min="69" max="69" width="24" bestFit="1" customWidth="1"/>
    <col min="70" max="70" width="35.5703125" bestFit="1" customWidth="1"/>
    <col min="71" max="71" width="34.85546875" bestFit="1" customWidth="1"/>
    <col min="72" max="73" width="33.5703125" bestFit="1" customWidth="1"/>
    <col min="74" max="74" width="24.140625" bestFit="1" customWidth="1"/>
    <col min="75" max="75" width="27.140625" bestFit="1" customWidth="1"/>
    <col min="76" max="76" width="30.42578125" bestFit="1" customWidth="1"/>
    <col min="77" max="77" width="31" bestFit="1" customWidth="1"/>
    <col min="78" max="78" width="34.140625" bestFit="1" customWidth="1"/>
    <col min="79" max="79" width="32" bestFit="1" customWidth="1"/>
    <col min="80" max="80" width="29.7109375" bestFit="1" customWidth="1"/>
    <col min="81" max="81" width="29.42578125" bestFit="1" customWidth="1"/>
    <col min="82" max="82" width="33.140625" bestFit="1" customWidth="1"/>
    <col min="83" max="83" width="31.7109375" bestFit="1" customWidth="1"/>
    <col min="84" max="84" width="35.140625" bestFit="1" customWidth="1"/>
    <col min="85" max="85" width="30.42578125" bestFit="1" customWidth="1"/>
    <col min="86" max="86" width="27.7109375" bestFit="1" customWidth="1"/>
    <col min="87" max="87" width="21.5703125" bestFit="1" customWidth="1"/>
    <col min="88" max="88" width="31.140625" bestFit="1" customWidth="1"/>
    <col min="89" max="89" width="29.7109375" bestFit="1" customWidth="1"/>
    <col min="90" max="90" width="24.5703125" bestFit="1" customWidth="1"/>
    <col min="91" max="91" width="29" bestFit="1" customWidth="1"/>
    <col min="92" max="92" width="29.7109375" bestFit="1" customWidth="1"/>
    <col min="93" max="93" width="31.140625" bestFit="1" customWidth="1"/>
    <col min="94" max="94" width="26.85546875" bestFit="1" customWidth="1"/>
    <col min="95" max="95" width="25.42578125" bestFit="1" customWidth="1"/>
    <col min="96" max="96" width="24.42578125" bestFit="1" customWidth="1"/>
    <col min="97" max="97" width="24.7109375" bestFit="1" customWidth="1"/>
    <col min="98" max="98" width="25.5703125" bestFit="1" customWidth="1"/>
    <col min="99" max="99" width="23.28515625" bestFit="1" customWidth="1"/>
    <col min="100" max="100" width="30.28515625" bestFit="1" customWidth="1"/>
    <col min="101" max="101" width="23.5703125" bestFit="1" customWidth="1"/>
    <col min="102" max="102" width="32.5703125" bestFit="1" customWidth="1"/>
    <col min="103" max="103" width="28" bestFit="1" customWidth="1"/>
    <col min="104" max="104" width="32.140625" bestFit="1" customWidth="1"/>
    <col min="105" max="105" width="26" bestFit="1" customWidth="1"/>
    <col min="106" max="107" width="23.28515625" bestFit="1" customWidth="1"/>
    <col min="108" max="108" width="30.5703125" bestFit="1" customWidth="1"/>
    <col min="109" max="109" width="31.28515625" bestFit="1" customWidth="1"/>
    <col min="110" max="110" width="34.140625" bestFit="1" customWidth="1"/>
    <col min="111" max="111" width="23.85546875" bestFit="1" customWidth="1"/>
    <col min="112" max="112" width="28.28515625" bestFit="1" customWidth="1"/>
    <col min="113" max="113" width="29.28515625" bestFit="1" customWidth="1"/>
    <col min="114" max="114" width="24" bestFit="1" customWidth="1"/>
    <col min="115" max="115" width="32.7109375" bestFit="1" customWidth="1"/>
    <col min="116" max="116" width="24.28515625" bestFit="1" customWidth="1"/>
    <col min="117" max="117" width="32.140625" bestFit="1" customWidth="1"/>
    <col min="118" max="118" width="33.28515625" bestFit="1" customWidth="1"/>
    <col min="119" max="119" width="23" bestFit="1" customWidth="1"/>
    <col min="120" max="120" width="30" bestFit="1" customWidth="1"/>
    <col min="121" max="121" width="24.7109375" bestFit="1" customWidth="1"/>
    <col min="122" max="122" width="27" bestFit="1" customWidth="1"/>
    <col min="123" max="123" width="28.85546875" bestFit="1" customWidth="1"/>
    <col min="124" max="124" width="27.28515625" bestFit="1" customWidth="1"/>
    <col min="125" max="125" width="26.5703125" bestFit="1" customWidth="1"/>
    <col min="126" max="126" width="28.85546875" bestFit="1" customWidth="1"/>
    <col min="127" max="128" width="25.85546875" bestFit="1" customWidth="1"/>
    <col min="129" max="129" width="25.5703125" bestFit="1" customWidth="1"/>
    <col min="130" max="130" width="27.140625" bestFit="1" customWidth="1"/>
    <col min="131" max="131" width="31" bestFit="1" customWidth="1"/>
    <col min="132" max="132" width="28.28515625" bestFit="1" customWidth="1"/>
    <col min="133" max="133" width="29.5703125" bestFit="1" customWidth="1"/>
    <col min="134" max="134" width="29.42578125" bestFit="1" customWidth="1"/>
    <col min="135" max="135" width="31.28515625" bestFit="1" customWidth="1"/>
    <col min="136" max="136" width="32.5703125" bestFit="1" customWidth="1"/>
    <col min="137" max="138" width="32" bestFit="1" customWidth="1"/>
    <col min="139" max="140" width="28.7109375" bestFit="1" customWidth="1"/>
    <col min="141" max="142" width="33.42578125" bestFit="1" customWidth="1"/>
    <col min="143" max="143" width="28.85546875" bestFit="1" customWidth="1"/>
    <col min="144" max="144" width="17.7109375" bestFit="1" customWidth="1"/>
    <col min="145" max="145" width="24.140625" bestFit="1" customWidth="1"/>
    <col min="146" max="146" width="28" bestFit="1" customWidth="1"/>
    <col min="147" max="147" width="27.85546875" bestFit="1" customWidth="1"/>
    <col min="148" max="148" width="27.42578125" bestFit="1" customWidth="1"/>
    <col min="149" max="150" width="26.5703125" bestFit="1" customWidth="1"/>
    <col min="151" max="151" width="30.5703125" bestFit="1" customWidth="1"/>
    <col min="152" max="152" width="28.7109375" bestFit="1" customWidth="1"/>
    <col min="153" max="153" width="32.7109375" bestFit="1" customWidth="1"/>
    <col min="154" max="154" width="31.85546875" bestFit="1" customWidth="1"/>
    <col min="155" max="155" width="28.140625" bestFit="1" customWidth="1"/>
    <col min="156" max="156" width="27.7109375" bestFit="1" customWidth="1"/>
    <col min="157" max="157" width="30.140625" bestFit="1" customWidth="1"/>
    <col min="158" max="158" width="33.85546875" bestFit="1" customWidth="1"/>
    <col min="159" max="159" width="24.5703125" bestFit="1" customWidth="1"/>
    <col min="160" max="160" width="28.28515625" bestFit="1" customWidth="1"/>
    <col min="161" max="161" width="24.28515625" bestFit="1" customWidth="1"/>
    <col min="162" max="163" width="31" bestFit="1" customWidth="1"/>
    <col min="164" max="164" width="34.42578125" bestFit="1" customWidth="1"/>
    <col min="165" max="165" width="23.5703125" bestFit="1" customWidth="1"/>
    <col min="166" max="166" width="29.85546875" bestFit="1" customWidth="1"/>
    <col min="167" max="167" width="31.28515625" bestFit="1" customWidth="1"/>
    <col min="168" max="168" width="28.140625" bestFit="1" customWidth="1"/>
    <col min="169" max="169" width="34.7109375" bestFit="1" customWidth="1"/>
    <col min="170" max="170" width="34.140625" bestFit="1" customWidth="1"/>
    <col min="171" max="171" width="30.42578125" bestFit="1" customWidth="1"/>
    <col min="172" max="172" width="28.42578125" bestFit="1" customWidth="1"/>
    <col min="173" max="173" width="36.140625" bestFit="1" customWidth="1"/>
    <col min="174" max="174" width="27.5703125" bestFit="1" customWidth="1"/>
    <col min="175" max="175" width="33.42578125" bestFit="1" customWidth="1"/>
    <col min="176" max="176" width="27.7109375" bestFit="1" customWidth="1"/>
    <col min="177" max="177" width="28.5703125" bestFit="1" customWidth="1"/>
    <col min="178" max="178" width="18.5703125" bestFit="1" customWidth="1"/>
    <col min="179" max="179" width="20.5703125" bestFit="1" customWidth="1"/>
    <col min="180" max="180" width="23.7109375" bestFit="1" customWidth="1"/>
    <col min="181" max="181" width="22" bestFit="1" customWidth="1"/>
    <col min="182" max="182" width="26.42578125" bestFit="1" customWidth="1"/>
    <col min="183" max="183" width="32.140625" bestFit="1" customWidth="1"/>
    <col min="184" max="184" width="29.28515625" bestFit="1" customWidth="1"/>
    <col min="185" max="185" width="24.140625" bestFit="1" customWidth="1"/>
    <col min="186" max="186" width="25" bestFit="1" customWidth="1"/>
    <col min="187" max="187" width="28" bestFit="1" customWidth="1"/>
    <col min="188" max="188" width="25.85546875" bestFit="1" customWidth="1"/>
    <col min="189" max="189" width="33" bestFit="1" customWidth="1"/>
    <col min="190" max="190" width="30.7109375" bestFit="1" customWidth="1"/>
    <col min="191" max="191" width="26.140625" bestFit="1" customWidth="1"/>
    <col min="192" max="193" width="30.7109375" bestFit="1" customWidth="1"/>
    <col min="194" max="194" width="25.5703125" bestFit="1" customWidth="1"/>
    <col min="195" max="195" width="28.28515625" bestFit="1" customWidth="1"/>
    <col min="196" max="196" width="26" bestFit="1" customWidth="1"/>
    <col min="197" max="198" width="22.7109375" bestFit="1" customWidth="1"/>
    <col min="199" max="199" width="24.7109375" bestFit="1" customWidth="1"/>
    <col min="200" max="200" width="23.42578125" bestFit="1" customWidth="1"/>
    <col min="201" max="201" width="28.140625" bestFit="1" customWidth="1"/>
    <col min="202" max="202" width="28.5703125" bestFit="1" customWidth="1"/>
    <col min="203" max="203" width="29.7109375" bestFit="1" customWidth="1"/>
    <col min="204" max="204" width="32.140625" bestFit="1" customWidth="1"/>
    <col min="205" max="205" width="29.140625" bestFit="1" customWidth="1"/>
    <col min="206" max="206" width="29.28515625" bestFit="1" customWidth="1"/>
    <col min="207" max="207" width="26.42578125" bestFit="1" customWidth="1"/>
    <col min="208" max="208" width="27.42578125" bestFit="1" customWidth="1"/>
    <col min="209" max="209" width="32.7109375" bestFit="1" customWidth="1"/>
    <col min="210" max="210" width="31.28515625" bestFit="1" customWidth="1"/>
    <col min="211" max="211" width="34.28515625" bestFit="1" customWidth="1"/>
    <col min="212" max="212" width="34" bestFit="1" customWidth="1"/>
    <col min="213" max="213" width="29.28515625" bestFit="1" customWidth="1"/>
    <col min="214" max="214" width="29.85546875" bestFit="1" customWidth="1"/>
    <col min="215" max="216" width="28.85546875" bestFit="1" customWidth="1"/>
    <col min="217" max="217" width="31" bestFit="1" customWidth="1"/>
    <col min="218" max="218" width="33.7109375" bestFit="1" customWidth="1"/>
    <col min="219" max="219" width="32" bestFit="1" customWidth="1"/>
    <col min="220" max="220" width="33.140625" bestFit="1" customWidth="1"/>
    <col min="221" max="221" width="31.140625" bestFit="1" customWidth="1"/>
    <col min="222" max="222" width="24.5703125" bestFit="1" customWidth="1"/>
    <col min="223" max="223" width="25.85546875" bestFit="1" customWidth="1"/>
    <col min="224" max="224" width="26.42578125" bestFit="1" customWidth="1"/>
    <col min="225" max="225" width="17.28515625" bestFit="1" customWidth="1"/>
    <col min="226" max="226" width="24.5703125" bestFit="1" customWidth="1"/>
    <col min="227" max="227" width="24.85546875" bestFit="1" customWidth="1"/>
    <col min="228" max="228" width="22.140625" bestFit="1" customWidth="1"/>
    <col min="229" max="229" width="26.7109375" bestFit="1" customWidth="1"/>
    <col min="230" max="230" width="32.28515625" bestFit="1" customWidth="1"/>
    <col min="231" max="231" width="30.28515625" bestFit="1" customWidth="1"/>
    <col min="232" max="232" width="29.85546875" bestFit="1" customWidth="1"/>
    <col min="233" max="233" width="33.140625" bestFit="1" customWidth="1"/>
    <col min="234" max="234" width="25" bestFit="1" customWidth="1"/>
    <col min="235" max="235" width="25.5703125" bestFit="1" customWidth="1"/>
    <col min="236" max="236" width="28.28515625" bestFit="1" customWidth="1"/>
    <col min="237" max="237" width="31" bestFit="1" customWidth="1"/>
    <col min="238" max="238" width="28" bestFit="1" customWidth="1"/>
    <col min="239" max="239" width="32" bestFit="1" customWidth="1"/>
    <col min="240" max="240" width="32.85546875" bestFit="1" customWidth="1"/>
    <col min="241" max="241" width="24" bestFit="1" customWidth="1"/>
    <col min="242" max="242" width="27.140625" bestFit="1" customWidth="1"/>
    <col min="243" max="243" width="30" bestFit="1" customWidth="1"/>
    <col min="244" max="244" width="31" bestFit="1" customWidth="1"/>
    <col min="245" max="245" width="33.85546875" bestFit="1" customWidth="1"/>
    <col min="246" max="246" width="25.140625" bestFit="1" customWidth="1"/>
    <col min="247" max="247" width="32.42578125" bestFit="1" customWidth="1"/>
    <col min="248" max="248" width="32" bestFit="1" customWidth="1"/>
    <col min="249" max="249" width="30.7109375" bestFit="1" customWidth="1"/>
    <col min="250" max="250" width="33" bestFit="1" customWidth="1"/>
    <col min="251" max="251" width="27.7109375" bestFit="1" customWidth="1"/>
    <col min="252" max="252" width="24.7109375" bestFit="1" customWidth="1"/>
    <col min="253" max="253" width="33.85546875" bestFit="1" customWidth="1"/>
    <col min="254" max="254" width="30.7109375" bestFit="1" customWidth="1"/>
    <col min="255" max="255" width="35.28515625" bestFit="1" customWidth="1"/>
    <col min="256" max="256" width="30" bestFit="1" customWidth="1"/>
    <col min="257" max="257" width="31.28515625" bestFit="1" customWidth="1"/>
    <col min="258" max="258" width="30.42578125" bestFit="1" customWidth="1"/>
    <col min="259" max="259" width="33" bestFit="1" customWidth="1"/>
    <col min="260" max="260" width="27.42578125" bestFit="1" customWidth="1"/>
    <col min="261" max="261" width="23.140625" bestFit="1" customWidth="1"/>
    <col min="262" max="262" width="26.140625" bestFit="1" customWidth="1"/>
    <col min="263" max="263" width="29.5703125" bestFit="1" customWidth="1"/>
    <col min="264" max="264" width="28.5703125" bestFit="1" customWidth="1"/>
    <col min="265" max="265" width="31.28515625" bestFit="1" customWidth="1"/>
    <col min="266" max="266" width="33.5703125" bestFit="1" customWidth="1"/>
    <col min="267" max="267" width="34" bestFit="1" customWidth="1"/>
    <col min="268" max="268" width="29" bestFit="1" customWidth="1"/>
    <col min="269" max="269" width="31.5703125" bestFit="1" customWidth="1"/>
    <col min="270" max="270" width="33" bestFit="1" customWidth="1"/>
    <col min="271" max="271" width="32.85546875" bestFit="1" customWidth="1"/>
    <col min="272" max="272" width="28.140625" bestFit="1" customWidth="1"/>
    <col min="273" max="273" width="28.28515625" bestFit="1" customWidth="1"/>
    <col min="274" max="274" width="31" bestFit="1" customWidth="1"/>
    <col min="275" max="275" width="24.85546875" bestFit="1" customWidth="1"/>
    <col min="276" max="276" width="24.28515625" bestFit="1" customWidth="1"/>
    <col min="277" max="277" width="32.140625" bestFit="1" customWidth="1"/>
    <col min="278" max="278" width="32.42578125" bestFit="1" customWidth="1"/>
    <col min="279" max="279" width="28.5703125" bestFit="1" customWidth="1"/>
    <col min="280" max="280" width="28.28515625" bestFit="1" customWidth="1"/>
    <col min="281" max="281" width="19.28515625" bestFit="1" customWidth="1"/>
    <col min="282" max="282" width="31.28515625" bestFit="1" customWidth="1"/>
    <col min="283" max="283" width="28.140625" bestFit="1" customWidth="1"/>
    <col min="284" max="284" width="28.28515625" bestFit="1" customWidth="1"/>
    <col min="285" max="285" width="26.5703125" bestFit="1" customWidth="1"/>
    <col min="286" max="286" width="26.7109375" bestFit="1" customWidth="1"/>
    <col min="287" max="287" width="22.42578125" bestFit="1" customWidth="1"/>
    <col min="288" max="288" width="32" bestFit="1" customWidth="1"/>
    <col min="289" max="289" width="15.28515625" bestFit="1" customWidth="1"/>
    <col min="290" max="290" width="15.7109375" bestFit="1" customWidth="1"/>
    <col min="291" max="291" width="23.140625" bestFit="1" customWidth="1"/>
    <col min="292" max="292" width="22.5703125" bestFit="1" customWidth="1"/>
    <col min="293" max="293" width="27.7109375" bestFit="1" customWidth="1"/>
    <col min="294" max="294" width="24.42578125" bestFit="1" customWidth="1"/>
    <col min="295" max="295" width="35.42578125" bestFit="1" customWidth="1"/>
    <col min="296" max="296" width="22.28515625" bestFit="1" customWidth="1"/>
    <col min="297" max="297" width="30" bestFit="1" customWidth="1"/>
    <col min="298" max="298" width="34.140625" bestFit="1" customWidth="1"/>
    <col min="299" max="299" width="23.5703125" bestFit="1" customWidth="1"/>
    <col min="300" max="300" width="28.140625" bestFit="1" customWidth="1"/>
    <col min="301" max="301" width="23.85546875" bestFit="1" customWidth="1"/>
    <col min="302" max="302" width="30.140625" bestFit="1" customWidth="1"/>
    <col min="303" max="303" width="28.5703125" bestFit="1" customWidth="1"/>
    <col min="304" max="305" width="30.28515625" bestFit="1" customWidth="1"/>
    <col min="306" max="306" width="29.7109375" bestFit="1" customWidth="1"/>
    <col min="307" max="307" width="23.28515625" bestFit="1" customWidth="1"/>
    <col min="308" max="308" width="26.7109375" bestFit="1" customWidth="1"/>
    <col min="309" max="309" width="32.140625" bestFit="1" customWidth="1"/>
    <col min="310" max="310" width="33.42578125" bestFit="1" customWidth="1"/>
    <col min="311" max="311" width="35.140625" bestFit="1" customWidth="1"/>
    <col min="312" max="312" width="27.28515625" bestFit="1" customWidth="1"/>
    <col min="313" max="313" width="27.140625" bestFit="1" customWidth="1"/>
    <col min="314" max="314" width="28.5703125" bestFit="1" customWidth="1"/>
    <col min="315" max="315" width="32" bestFit="1" customWidth="1"/>
    <col min="316" max="316" width="29.85546875" bestFit="1" customWidth="1"/>
    <col min="317" max="317" width="31.140625" bestFit="1" customWidth="1"/>
    <col min="318" max="318" width="29.5703125" bestFit="1" customWidth="1"/>
    <col min="319" max="319" width="33" bestFit="1" customWidth="1"/>
    <col min="320" max="320" width="27.7109375" bestFit="1" customWidth="1"/>
    <col min="321" max="321" width="25.5703125" bestFit="1" customWidth="1"/>
    <col min="322" max="322" width="33.85546875" bestFit="1" customWidth="1"/>
    <col min="323" max="323" width="28.7109375" bestFit="1" customWidth="1"/>
    <col min="324" max="324" width="25.5703125" bestFit="1" customWidth="1"/>
    <col min="325" max="325" width="27.5703125" bestFit="1" customWidth="1"/>
    <col min="326" max="327" width="33.7109375" bestFit="1" customWidth="1"/>
    <col min="328" max="328" width="34.42578125" bestFit="1" customWidth="1"/>
    <col min="329" max="329" width="26.42578125" bestFit="1" customWidth="1"/>
    <col min="330" max="330" width="30.42578125" bestFit="1" customWidth="1"/>
    <col min="331" max="331" width="25.7109375" bestFit="1" customWidth="1"/>
    <col min="332" max="332" width="33.140625" bestFit="1" customWidth="1"/>
    <col min="333" max="333" width="34" bestFit="1" customWidth="1"/>
    <col min="334" max="334" width="32.85546875" bestFit="1" customWidth="1"/>
    <col min="335" max="335" width="26.7109375" bestFit="1" customWidth="1"/>
    <col min="336" max="336" width="33.42578125" bestFit="1" customWidth="1"/>
    <col min="337" max="337" width="32.5703125" bestFit="1" customWidth="1"/>
    <col min="338" max="338" width="25.85546875" bestFit="1" customWidth="1"/>
    <col min="339" max="339" width="20.5703125" bestFit="1" customWidth="1"/>
    <col min="340" max="340" width="25.140625" bestFit="1" customWidth="1"/>
    <col min="341" max="341" width="31.7109375" bestFit="1" customWidth="1"/>
    <col min="342" max="342" width="25.140625" bestFit="1" customWidth="1"/>
    <col min="343" max="343" width="26.5703125" bestFit="1" customWidth="1"/>
    <col min="344" max="344" width="31.5703125" bestFit="1" customWidth="1"/>
    <col min="345" max="345" width="25.42578125" bestFit="1" customWidth="1"/>
    <col min="346" max="346" width="25.7109375" bestFit="1" customWidth="1"/>
    <col min="347" max="347" width="25" bestFit="1" customWidth="1"/>
    <col min="348" max="348" width="32.28515625" bestFit="1" customWidth="1"/>
    <col min="349" max="349" width="23.42578125" bestFit="1" customWidth="1"/>
    <col min="350" max="350" width="26.7109375" bestFit="1" customWidth="1"/>
    <col min="351" max="351" width="27" bestFit="1" customWidth="1"/>
    <col min="352" max="352" width="17.28515625" bestFit="1" customWidth="1"/>
    <col min="353" max="353" width="23.7109375" bestFit="1" customWidth="1"/>
    <col min="354" max="354" width="22.140625" bestFit="1" customWidth="1"/>
    <col min="355" max="355" width="25.7109375" bestFit="1" customWidth="1"/>
    <col min="356" max="356" width="27.85546875" bestFit="1" customWidth="1"/>
    <col min="357" max="357" width="30.5703125" bestFit="1" customWidth="1"/>
    <col min="358" max="358" width="31.5703125" bestFit="1" customWidth="1"/>
    <col min="359" max="359" width="29.140625" bestFit="1" customWidth="1"/>
    <col min="360" max="360" width="28.28515625" bestFit="1" customWidth="1"/>
    <col min="361" max="361" width="31.5703125" bestFit="1" customWidth="1"/>
    <col min="362" max="362" width="31.28515625" bestFit="1" customWidth="1"/>
    <col min="363" max="363" width="31.5703125" bestFit="1" customWidth="1"/>
    <col min="364" max="365" width="34" bestFit="1" customWidth="1"/>
    <col min="366" max="366" width="33.42578125" bestFit="1" customWidth="1"/>
    <col min="367" max="367" width="30.28515625" bestFit="1" customWidth="1"/>
    <col min="368" max="368" width="30.140625" bestFit="1" customWidth="1"/>
    <col min="369" max="369" width="32.5703125" bestFit="1" customWidth="1"/>
    <col min="370" max="370" width="33.7109375" bestFit="1" customWidth="1"/>
    <col min="371" max="371" width="30.28515625" bestFit="1" customWidth="1"/>
    <col min="372" max="372" width="29.42578125" bestFit="1" customWidth="1"/>
    <col min="373" max="373" width="33.5703125" bestFit="1" customWidth="1"/>
    <col min="374" max="374" width="32.140625" bestFit="1" customWidth="1"/>
    <col min="375" max="375" width="34.140625" bestFit="1" customWidth="1"/>
    <col min="376" max="377" width="34" bestFit="1" customWidth="1"/>
    <col min="378" max="378" width="24.42578125" bestFit="1" customWidth="1"/>
    <col min="379" max="379" width="26.5703125" bestFit="1" customWidth="1"/>
    <col min="380" max="380" width="26.140625" bestFit="1" customWidth="1"/>
    <col min="381" max="381" width="20.28515625" bestFit="1" customWidth="1"/>
    <col min="382" max="382" width="27.85546875" bestFit="1" customWidth="1"/>
    <col min="383" max="383" width="25.140625" bestFit="1" customWidth="1"/>
    <col min="384" max="384" width="25.28515625" bestFit="1" customWidth="1"/>
    <col min="385" max="385" width="28.5703125" bestFit="1" customWidth="1"/>
    <col min="386" max="386" width="27.140625" bestFit="1" customWidth="1"/>
    <col min="387" max="387" width="24.85546875" bestFit="1" customWidth="1"/>
    <col min="388" max="388" width="26.85546875" bestFit="1" customWidth="1"/>
    <col min="389" max="389" width="26" bestFit="1" customWidth="1"/>
    <col min="390" max="391" width="25" bestFit="1" customWidth="1"/>
    <col min="392" max="393" width="24.42578125" bestFit="1" customWidth="1"/>
    <col min="394" max="394" width="31.7109375" bestFit="1" customWidth="1"/>
    <col min="395" max="395" width="35" bestFit="1" customWidth="1"/>
    <col min="396" max="396" width="24.85546875" bestFit="1" customWidth="1"/>
    <col min="397" max="397" width="25.85546875" bestFit="1" customWidth="1"/>
    <col min="398" max="398" width="34.5703125" bestFit="1" customWidth="1"/>
    <col min="399" max="399" width="31.5703125" bestFit="1" customWidth="1"/>
    <col min="400" max="400" width="24.7109375" bestFit="1" customWidth="1"/>
    <col min="401" max="401" width="32.5703125" bestFit="1" customWidth="1"/>
    <col min="402" max="402" width="26" bestFit="1" customWidth="1"/>
    <col min="403" max="403" width="27.28515625" bestFit="1" customWidth="1"/>
    <col min="404" max="404" width="31.85546875" bestFit="1" customWidth="1"/>
    <col min="405" max="405" width="28.28515625" bestFit="1" customWidth="1"/>
    <col min="406" max="406" width="30.5703125" bestFit="1" customWidth="1"/>
    <col min="407" max="407" width="31.140625" bestFit="1" customWidth="1"/>
    <col min="408" max="408" width="31.5703125" bestFit="1" customWidth="1"/>
    <col min="409" max="409" width="33" bestFit="1" customWidth="1"/>
    <col min="410" max="410" width="30.7109375" bestFit="1" customWidth="1"/>
    <col min="411" max="412" width="30" bestFit="1" customWidth="1"/>
    <col min="413" max="413" width="23.7109375" bestFit="1" customWidth="1"/>
    <col min="414" max="414" width="30.42578125" bestFit="1" customWidth="1"/>
    <col min="415" max="415" width="21.85546875" bestFit="1" customWidth="1"/>
    <col min="416" max="416" width="32.5703125" bestFit="1" customWidth="1"/>
    <col min="417" max="417" width="28.140625" bestFit="1" customWidth="1"/>
    <col min="418" max="418" width="24.42578125" bestFit="1" customWidth="1"/>
    <col min="419" max="419" width="31.85546875" bestFit="1" customWidth="1"/>
    <col min="420" max="420" width="25.85546875" bestFit="1" customWidth="1"/>
    <col min="421" max="421" width="31.5703125" bestFit="1" customWidth="1"/>
    <col min="422" max="422" width="24.140625" bestFit="1" customWidth="1"/>
    <col min="423" max="423" width="27.7109375" bestFit="1" customWidth="1"/>
    <col min="424" max="424" width="28.28515625" bestFit="1" customWidth="1"/>
    <col min="425" max="425" width="31.28515625" bestFit="1" customWidth="1"/>
    <col min="426" max="426" width="24.7109375" bestFit="1" customWidth="1"/>
    <col min="427" max="427" width="26.85546875" bestFit="1" customWidth="1"/>
    <col min="428" max="429" width="26.42578125" bestFit="1" customWidth="1"/>
    <col min="430" max="430" width="29.5703125" bestFit="1" customWidth="1"/>
    <col min="431" max="431" width="32.140625" bestFit="1" customWidth="1"/>
    <col min="432" max="432" width="29.5703125" bestFit="1" customWidth="1"/>
    <col min="433" max="433" width="29.140625" bestFit="1" customWidth="1"/>
    <col min="434" max="434" width="33.5703125" bestFit="1" customWidth="1"/>
    <col min="435" max="435" width="28.5703125" bestFit="1" customWidth="1"/>
    <col min="436" max="436" width="30.42578125" bestFit="1" customWidth="1"/>
    <col min="437" max="437" width="30.5703125" bestFit="1" customWidth="1"/>
    <col min="438" max="438" width="25.5703125" bestFit="1" customWidth="1"/>
    <col min="439" max="439" width="24.5703125" bestFit="1" customWidth="1"/>
    <col min="440" max="440" width="23.28515625" bestFit="1" customWidth="1"/>
    <col min="441" max="441" width="29.140625" bestFit="1" customWidth="1"/>
    <col min="442" max="442" width="25.85546875" bestFit="1" customWidth="1"/>
    <col min="443" max="443" width="28.140625" bestFit="1" customWidth="1"/>
    <col min="444" max="444" width="27.5703125" bestFit="1" customWidth="1"/>
    <col min="445" max="445" width="33.140625" bestFit="1" customWidth="1"/>
    <col min="446" max="446" width="23.28515625" bestFit="1" customWidth="1"/>
    <col min="447" max="447" width="28.28515625" bestFit="1" customWidth="1"/>
    <col min="448" max="448" width="26.140625" bestFit="1" customWidth="1"/>
    <col min="449" max="449" width="30.5703125" bestFit="1" customWidth="1"/>
    <col min="450" max="450" width="31" bestFit="1" customWidth="1"/>
    <col min="451" max="451" width="25.28515625" bestFit="1" customWidth="1"/>
    <col min="452" max="452" width="29.85546875" bestFit="1" customWidth="1"/>
    <col min="453" max="453" width="30.28515625" bestFit="1" customWidth="1"/>
    <col min="454" max="454" width="34.42578125" bestFit="1" customWidth="1"/>
    <col min="455" max="455" width="25.7109375" bestFit="1" customWidth="1"/>
    <col min="456" max="456" width="28.5703125" bestFit="1" customWidth="1"/>
    <col min="457" max="457" width="30" bestFit="1" customWidth="1"/>
    <col min="458" max="458" width="29.5703125" bestFit="1" customWidth="1"/>
    <col min="459" max="459" width="32.42578125" bestFit="1" customWidth="1"/>
    <col min="460" max="460" width="33.28515625" bestFit="1" customWidth="1"/>
    <col min="461" max="461" width="33" bestFit="1" customWidth="1"/>
    <col min="462" max="462" width="22.5703125" bestFit="1" customWidth="1"/>
    <col min="463" max="463" width="21.7109375" bestFit="1" customWidth="1"/>
    <col min="464" max="464" width="32.42578125" bestFit="1" customWidth="1"/>
    <col min="465" max="465" width="31.140625" bestFit="1" customWidth="1"/>
    <col min="466" max="466" width="29" bestFit="1" customWidth="1"/>
    <col min="467" max="467" width="23.85546875" bestFit="1" customWidth="1"/>
    <col min="468" max="468" width="32" bestFit="1" customWidth="1"/>
    <col min="469" max="469" width="30.7109375" bestFit="1" customWidth="1"/>
    <col min="470" max="470" width="34.5703125" bestFit="1" customWidth="1"/>
    <col min="471" max="471" width="27.140625" bestFit="1" customWidth="1"/>
    <col min="472" max="472" width="28.140625" bestFit="1" customWidth="1"/>
    <col min="473" max="473" width="26.7109375" bestFit="1" customWidth="1"/>
    <col min="474" max="474" width="33.85546875" bestFit="1" customWidth="1"/>
    <col min="475" max="475" width="25.85546875" bestFit="1" customWidth="1"/>
    <col min="476" max="476" width="23.5703125" bestFit="1" customWidth="1"/>
    <col min="477" max="477" width="24.42578125" bestFit="1" customWidth="1"/>
    <col min="478" max="478" width="23.85546875" bestFit="1" customWidth="1"/>
    <col min="479" max="479" width="21" bestFit="1" customWidth="1"/>
    <col min="480" max="480" width="25.140625" bestFit="1" customWidth="1"/>
    <col min="481" max="482" width="31.140625" bestFit="1" customWidth="1"/>
    <col min="483" max="483" width="32.42578125" bestFit="1" customWidth="1"/>
    <col min="484" max="484" width="33" bestFit="1" customWidth="1"/>
    <col min="485" max="485" width="35.42578125" bestFit="1" customWidth="1"/>
    <col min="486" max="486" width="34.28515625" bestFit="1" customWidth="1"/>
    <col min="487" max="487" width="28" bestFit="1" customWidth="1"/>
    <col min="488" max="488" width="31.7109375" bestFit="1" customWidth="1"/>
    <col min="489" max="489" width="28.85546875" bestFit="1" customWidth="1"/>
    <col min="490" max="490" width="30.140625" bestFit="1" customWidth="1"/>
    <col min="491" max="491" width="32.140625" bestFit="1" customWidth="1"/>
    <col min="492" max="492" width="30.7109375" bestFit="1" customWidth="1"/>
    <col min="493" max="493" width="24" bestFit="1" customWidth="1"/>
    <col min="494" max="494" width="32.85546875" bestFit="1" customWidth="1"/>
    <col min="495" max="495" width="29.42578125" bestFit="1" customWidth="1"/>
    <col min="496" max="499" width="29" bestFit="1" customWidth="1"/>
    <col min="500" max="500" width="17.28515625" bestFit="1" customWidth="1"/>
    <col min="501" max="501" width="21.85546875" bestFit="1" customWidth="1"/>
    <col min="502" max="502" width="31.140625" bestFit="1" customWidth="1"/>
    <col min="503" max="503" width="28.42578125" bestFit="1" customWidth="1"/>
    <col min="504" max="504" width="24.85546875" bestFit="1" customWidth="1"/>
    <col min="505" max="506" width="26" bestFit="1" customWidth="1"/>
    <col min="507" max="507" width="31.85546875" bestFit="1" customWidth="1"/>
    <col min="508" max="508" width="32.42578125" bestFit="1" customWidth="1"/>
    <col min="509" max="509" width="26.85546875" bestFit="1" customWidth="1"/>
    <col min="510" max="510" width="27.28515625" bestFit="1" customWidth="1"/>
    <col min="511" max="511" width="27.7109375" bestFit="1" customWidth="1"/>
    <col min="512" max="512" width="34.42578125" bestFit="1" customWidth="1"/>
    <col min="513" max="513" width="33.5703125" bestFit="1" customWidth="1"/>
    <col min="514" max="514" width="30" bestFit="1" customWidth="1"/>
    <col min="515" max="515" width="37.7109375" bestFit="1" customWidth="1"/>
    <col min="516" max="516" width="27.7109375" bestFit="1" customWidth="1"/>
    <col min="517" max="517" width="24.140625" bestFit="1" customWidth="1"/>
    <col min="518" max="518" width="33.140625" bestFit="1" customWidth="1"/>
    <col min="519" max="519" width="32.85546875" bestFit="1" customWidth="1"/>
    <col min="520" max="520" width="21.28515625" bestFit="1" customWidth="1"/>
    <col min="521" max="521" width="27.28515625" bestFit="1" customWidth="1"/>
    <col min="522" max="522" width="27.42578125" bestFit="1" customWidth="1"/>
    <col min="523" max="523" width="28.42578125" bestFit="1" customWidth="1"/>
    <col min="524" max="524" width="22" bestFit="1" customWidth="1"/>
    <col min="525" max="525" width="23.85546875" bestFit="1" customWidth="1"/>
    <col min="526" max="526" width="31" bestFit="1" customWidth="1"/>
    <col min="527" max="527" width="28.28515625" bestFit="1" customWidth="1"/>
    <col min="528" max="528" width="32" bestFit="1" customWidth="1"/>
    <col min="529" max="529" width="26.5703125" bestFit="1" customWidth="1"/>
    <col min="530" max="530" width="25.140625" bestFit="1" customWidth="1"/>
    <col min="531" max="531" width="33.5703125" bestFit="1" customWidth="1"/>
    <col min="532" max="532" width="25.85546875" bestFit="1" customWidth="1"/>
    <col min="533" max="533" width="31.85546875" bestFit="1" customWidth="1"/>
    <col min="534" max="534" width="32.140625" bestFit="1" customWidth="1"/>
    <col min="535" max="535" width="20" bestFit="1" customWidth="1"/>
    <col min="536" max="536" width="32.5703125" bestFit="1" customWidth="1"/>
    <col min="537" max="537" width="29.42578125" bestFit="1" customWidth="1"/>
    <col min="538" max="538" width="29" bestFit="1" customWidth="1"/>
    <col min="539" max="539" width="28.28515625" bestFit="1" customWidth="1"/>
    <col min="540" max="540" width="27.85546875" bestFit="1" customWidth="1"/>
    <col min="541" max="542" width="28.42578125" bestFit="1" customWidth="1"/>
    <col min="543" max="543" width="32.42578125" bestFit="1" customWidth="1"/>
    <col min="544" max="544" width="22" bestFit="1" customWidth="1"/>
    <col min="545" max="545" width="28.7109375" bestFit="1" customWidth="1"/>
    <col min="546" max="546" width="29.140625" bestFit="1" customWidth="1"/>
    <col min="547" max="547" width="20.42578125" bestFit="1" customWidth="1"/>
    <col min="548" max="549" width="22.85546875" bestFit="1" customWidth="1"/>
    <col min="550" max="550" width="22" bestFit="1" customWidth="1"/>
    <col min="551" max="551" width="20.28515625" bestFit="1" customWidth="1"/>
    <col min="552" max="552" width="25" bestFit="1" customWidth="1"/>
    <col min="553" max="553" width="18.140625" bestFit="1" customWidth="1"/>
    <col min="554" max="554" width="19.85546875" bestFit="1" customWidth="1"/>
    <col min="555" max="556" width="25.140625" bestFit="1" customWidth="1"/>
    <col min="557" max="557" width="24.28515625" bestFit="1" customWidth="1"/>
    <col min="558" max="558" width="25.85546875" bestFit="1" customWidth="1"/>
    <col min="559" max="559" width="21.5703125" bestFit="1" customWidth="1"/>
    <col min="560" max="560" width="25.5703125" bestFit="1" customWidth="1"/>
    <col min="561" max="561" width="30.7109375" bestFit="1" customWidth="1"/>
    <col min="562" max="562" width="29.85546875" bestFit="1" customWidth="1"/>
    <col min="563" max="563" width="30.140625" bestFit="1" customWidth="1"/>
    <col min="564" max="564" width="31.140625" bestFit="1" customWidth="1"/>
    <col min="565" max="565" width="28.140625" bestFit="1" customWidth="1"/>
    <col min="566" max="566" width="32.5703125" bestFit="1" customWidth="1"/>
    <col min="567" max="567" width="35.42578125" bestFit="1" customWidth="1"/>
    <col min="568" max="568" width="22.28515625" bestFit="1" customWidth="1"/>
    <col min="569" max="569" width="21.85546875" bestFit="1" customWidth="1"/>
    <col min="570" max="570" width="28" bestFit="1" customWidth="1"/>
    <col min="571" max="571" width="30.85546875" bestFit="1" customWidth="1"/>
    <col min="572" max="572" width="33.42578125" bestFit="1" customWidth="1"/>
    <col min="573" max="573" width="31.28515625" bestFit="1" customWidth="1"/>
    <col min="574" max="574" width="30.42578125" bestFit="1" customWidth="1"/>
    <col min="575" max="575" width="24.140625" bestFit="1" customWidth="1"/>
    <col min="576" max="576" width="29.7109375" bestFit="1" customWidth="1"/>
    <col min="577" max="577" width="30.140625" bestFit="1" customWidth="1"/>
    <col min="578" max="578" width="30" bestFit="1" customWidth="1"/>
    <col min="579" max="579" width="22.42578125" bestFit="1" customWidth="1"/>
    <col min="580" max="581" width="20.5703125" bestFit="1" customWidth="1"/>
    <col min="582" max="582" width="30.85546875" bestFit="1" customWidth="1"/>
    <col min="583" max="583" width="31.85546875" bestFit="1" customWidth="1"/>
    <col min="584" max="584" width="33.28515625" bestFit="1" customWidth="1"/>
    <col min="585" max="585" width="32.7109375" bestFit="1" customWidth="1"/>
    <col min="586" max="586" width="12.42578125" bestFit="1" customWidth="1"/>
    <col min="587" max="587" width="29.85546875" bestFit="1" customWidth="1"/>
    <col min="588" max="589" width="33.140625" bestFit="1" customWidth="1"/>
    <col min="590" max="590" width="24.28515625" bestFit="1" customWidth="1"/>
    <col min="591" max="591" width="30.5703125" bestFit="1" customWidth="1"/>
    <col min="592" max="592" width="29.5703125" bestFit="1" customWidth="1"/>
    <col min="593" max="593" width="30" bestFit="1" customWidth="1"/>
    <col min="594" max="594" width="31.85546875" bestFit="1" customWidth="1"/>
    <col min="595" max="596" width="29.5703125" bestFit="1" customWidth="1"/>
    <col min="597" max="597" width="33.7109375" bestFit="1" customWidth="1"/>
    <col min="598" max="598" width="31.7109375" bestFit="1" customWidth="1"/>
    <col min="599" max="599" width="34.42578125" bestFit="1" customWidth="1"/>
    <col min="600" max="600" width="32.42578125" bestFit="1" customWidth="1"/>
    <col min="601" max="601" width="29.7109375" bestFit="1" customWidth="1"/>
    <col min="602" max="602" width="31.7109375" bestFit="1" customWidth="1"/>
    <col min="603" max="603" width="29.85546875" bestFit="1" customWidth="1"/>
    <col min="604" max="604" width="24.85546875" bestFit="1" customWidth="1"/>
    <col min="605" max="605" width="26.5703125" bestFit="1" customWidth="1"/>
    <col min="606" max="606" width="26" bestFit="1" customWidth="1"/>
    <col min="607" max="607" width="32.7109375" bestFit="1" customWidth="1"/>
    <col min="608" max="608" width="32.140625" bestFit="1" customWidth="1"/>
    <col min="609" max="609" width="22" bestFit="1" customWidth="1"/>
    <col min="610" max="610" width="9.5703125" bestFit="1" customWidth="1"/>
    <col min="611" max="611" width="22" bestFit="1" customWidth="1"/>
    <col min="612" max="612" width="30" bestFit="1" customWidth="1"/>
    <col min="613" max="613" width="25.140625" bestFit="1" customWidth="1"/>
    <col min="614" max="614" width="27.140625" bestFit="1" customWidth="1"/>
    <col min="615" max="615" width="31.140625" bestFit="1" customWidth="1"/>
    <col min="616" max="616" width="31.28515625" bestFit="1" customWidth="1"/>
    <col min="617" max="618" width="27.85546875" bestFit="1" customWidth="1"/>
    <col min="619" max="619" width="26" bestFit="1" customWidth="1"/>
    <col min="620" max="620" width="33.28515625" bestFit="1" customWidth="1"/>
    <col min="621" max="622" width="22" bestFit="1" customWidth="1"/>
    <col min="623" max="623" width="31" bestFit="1" customWidth="1"/>
    <col min="624" max="624" width="33.85546875" bestFit="1" customWidth="1"/>
    <col min="625" max="625" width="28.5703125" bestFit="1" customWidth="1"/>
    <col min="626" max="626" width="32.140625" bestFit="1" customWidth="1"/>
    <col min="627" max="627" width="27.28515625" bestFit="1" customWidth="1"/>
    <col min="628" max="628" width="31.5703125" bestFit="1" customWidth="1"/>
    <col min="629" max="629" width="22.28515625" bestFit="1" customWidth="1"/>
    <col min="630" max="630" width="28.5703125" bestFit="1" customWidth="1"/>
    <col min="631" max="631" width="27.5703125" bestFit="1" customWidth="1"/>
    <col min="632" max="632" width="26" bestFit="1" customWidth="1"/>
    <col min="633" max="633" width="35" bestFit="1" customWidth="1"/>
    <col min="634" max="634" width="33.85546875" bestFit="1" customWidth="1"/>
    <col min="635" max="635" width="34.42578125" bestFit="1" customWidth="1"/>
    <col min="636" max="636" width="24.42578125" bestFit="1" customWidth="1"/>
    <col min="637" max="637" width="26.140625" bestFit="1" customWidth="1"/>
    <col min="638" max="638" width="32.5703125" bestFit="1" customWidth="1"/>
    <col min="639" max="639" width="33" bestFit="1" customWidth="1"/>
    <col min="640" max="640" width="34.140625" bestFit="1" customWidth="1"/>
    <col min="641" max="641" width="29.7109375" bestFit="1" customWidth="1"/>
    <col min="642" max="642" width="26.42578125" bestFit="1" customWidth="1"/>
    <col min="643" max="643" width="31.85546875" bestFit="1" customWidth="1"/>
    <col min="644" max="644" width="33" bestFit="1" customWidth="1"/>
    <col min="645" max="645" width="34.28515625" bestFit="1" customWidth="1"/>
    <col min="646" max="646" width="34.7109375" bestFit="1" customWidth="1"/>
    <col min="647" max="647" width="30.28515625" bestFit="1" customWidth="1"/>
    <col min="648" max="648" width="27.42578125" bestFit="1" customWidth="1"/>
    <col min="649" max="649" width="33.42578125" bestFit="1" customWidth="1"/>
    <col min="650" max="650" width="31.5703125" bestFit="1" customWidth="1"/>
    <col min="651" max="651" width="32.28515625" bestFit="1" customWidth="1"/>
    <col min="652" max="652" width="27.42578125" bestFit="1" customWidth="1"/>
    <col min="653" max="653" width="28" bestFit="1" customWidth="1"/>
    <col min="654" max="654" width="36.42578125" bestFit="1" customWidth="1"/>
    <col min="655" max="655" width="33.5703125" bestFit="1" customWidth="1"/>
    <col min="656" max="656" width="28" bestFit="1" customWidth="1"/>
    <col min="657" max="657" width="32.85546875" bestFit="1" customWidth="1"/>
    <col min="658" max="658" width="25.7109375" bestFit="1" customWidth="1"/>
    <col min="659" max="659" width="22.7109375" bestFit="1" customWidth="1"/>
    <col min="660" max="660" width="27.85546875" bestFit="1" customWidth="1"/>
    <col min="661" max="661" width="31.7109375" bestFit="1" customWidth="1"/>
    <col min="662" max="662" width="32.42578125" bestFit="1" customWidth="1"/>
    <col min="663" max="663" width="33.5703125" bestFit="1" customWidth="1"/>
    <col min="664" max="664" width="30.140625" bestFit="1" customWidth="1"/>
    <col min="665" max="665" width="30.42578125" bestFit="1" customWidth="1"/>
    <col min="666" max="666" width="34.5703125" bestFit="1" customWidth="1"/>
    <col min="667" max="667" width="34.140625" bestFit="1" customWidth="1"/>
    <col min="668" max="668" width="30.7109375" bestFit="1" customWidth="1"/>
    <col min="669" max="671" width="29.85546875" bestFit="1" customWidth="1"/>
    <col min="672" max="672" width="31" bestFit="1" customWidth="1"/>
    <col min="673" max="673" width="33.5703125" bestFit="1" customWidth="1"/>
    <col min="674" max="674" width="34.28515625" bestFit="1" customWidth="1"/>
    <col min="675" max="675" width="27.85546875" bestFit="1" customWidth="1"/>
    <col min="676" max="676" width="30.5703125" bestFit="1" customWidth="1"/>
    <col min="677" max="677" width="34.42578125" bestFit="1" customWidth="1"/>
    <col min="678" max="678" width="35.28515625" bestFit="1" customWidth="1"/>
    <col min="679" max="679" width="33.7109375" bestFit="1" customWidth="1"/>
    <col min="680" max="680" width="29.42578125" bestFit="1" customWidth="1"/>
    <col min="681" max="681" width="30.5703125" bestFit="1" customWidth="1"/>
    <col min="682" max="682" width="31.7109375" bestFit="1" customWidth="1"/>
    <col min="683" max="683" width="20" bestFit="1" customWidth="1"/>
    <col min="684" max="684" width="22.28515625" bestFit="1" customWidth="1"/>
    <col min="685" max="685" width="21.28515625" bestFit="1" customWidth="1"/>
    <col min="686" max="686" width="24.7109375" bestFit="1" customWidth="1"/>
    <col min="687" max="687" width="27.28515625" bestFit="1" customWidth="1"/>
    <col min="688" max="688" width="33.7109375" bestFit="1" customWidth="1"/>
    <col min="689" max="689" width="32.140625" bestFit="1" customWidth="1"/>
    <col min="690" max="690" width="30.5703125" bestFit="1" customWidth="1"/>
    <col min="691" max="692" width="33" bestFit="1" customWidth="1"/>
    <col min="693" max="693" width="27.28515625" bestFit="1" customWidth="1"/>
    <col min="694" max="694" width="29.5703125" bestFit="1" customWidth="1"/>
    <col min="695" max="695" width="29.28515625" bestFit="1" customWidth="1"/>
    <col min="696" max="696" width="33.85546875" bestFit="1" customWidth="1"/>
    <col min="697" max="697" width="30.140625" bestFit="1" customWidth="1"/>
    <col min="698" max="698" width="22.42578125" bestFit="1" customWidth="1"/>
    <col min="699" max="699" width="25.28515625" bestFit="1" customWidth="1"/>
    <col min="700" max="700" width="27.7109375" bestFit="1" customWidth="1"/>
    <col min="701" max="701" width="31" bestFit="1" customWidth="1"/>
    <col min="702" max="702" width="30" bestFit="1" customWidth="1"/>
    <col min="703" max="703" width="29.140625" bestFit="1" customWidth="1"/>
    <col min="704" max="704" width="33.7109375" bestFit="1" customWidth="1"/>
    <col min="705" max="705" width="25.7109375" bestFit="1" customWidth="1"/>
    <col min="706" max="706" width="33.140625" bestFit="1" customWidth="1"/>
    <col min="707" max="707" width="32.42578125" bestFit="1" customWidth="1"/>
    <col min="708" max="708" width="30.42578125" bestFit="1" customWidth="1"/>
    <col min="709" max="709" width="34.42578125" bestFit="1" customWidth="1"/>
    <col min="710" max="710" width="25.85546875" bestFit="1" customWidth="1"/>
    <col min="711" max="711" width="26.42578125" bestFit="1" customWidth="1"/>
    <col min="712" max="712" width="26.140625" bestFit="1" customWidth="1"/>
    <col min="713" max="713" width="34.85546875" bestFit="1" customWidth="1"/>
    <col min="714" max="714" width="17" bestFit="1" customWidth="1"/>
    <col min="715" max="715" width="30.85546875" bestFit="1" customWidth="1"/>
    <col min="716" max="716" width="33.7109375" bestFit="1" customWidth="1"/>
    <col min="717" max="717" width="34.140625" bestFit="1" customWidth="1"/>
    <col min="718" max="718" width="34.42578125" bestFit="1" customWidth="1"/>
    <col min="719" max="719" width="36" bestFit="1" customWidth="1"/>
    <col min="720" max="720" width="29.7109375" bestFit="1" customWidth="1"/>
    <col min="721" max="721" width="19.42578125" bestFit="1" customWidth="1"/>
    <col min="722" max="722" width="34.85546875" bestFit="1" customWidth="1"/>
    <col min="723" max="723" width="30.85546875" bestFit="1" customWidth="1"/>
    <col min="724" max="724" width="25.42578125" bestFit="1" customWidth="1"/>
    <col min="725" max="725" width="20.7109375" bestFit="1" customWidth="1"/>
    <col min="726" max="726" width="32" bestFit="1" customWidth="1"/>
    <col min="727" max="727" width="30.42578125" bestFit="1" customWidth="1"/>
    <col min="728" max="728" width="30.7109375" bestFit="1" customWidth="1"/>
    <col min="729" max="729" width="33.42578125" bestFit="1" customWidth="1"/>
    <col min="730" max="730" width="24.5703125" bestFit="1" customWidth="1"/>
    <col min="731" max="731" width="28.5703125" bestFit="1" customWidth="1"/>
    <col min="732" max="732" width="27.140625" bestFit="1" customWidth="1"/>
    <col min="733" max="733" width="29.140625" bestFit="1" customWidth="1"/>
    <col min="734" max="734" width="30.5703125" bestFit="1" customWidth="1"/>
    <col min="735" max="735" width="21" bestFit="1" customWidth="1"/>
    <col min="736" max="736" width="34.28515625" bestFit="1" customWidth="1"/>
    <col min="737" max="737" width="31.28515625" bestFit="1" customWidth="1"/>
    <col min="738" max="738" width="29.28515625" bestFit="1" customWidth="1"/>
    <col min="739" max="739" width="34" bestFit="1" customWidth="1"/>
    <col min="740" max="740" width="23.7109375" bestFit="1" customWidth="1"/>
    <col min="741" max="741" width="27.140625" bestFit="1" customWidth="1"/>
    <col min="742" max="742" width="26" bestFit="1" customWidth="1"/>
    <col min="743" max="743" width="35.28515625" bestFit="1" customWidth="1"/>
    <col min="744" max="744" width="26.5703125" bestFit="1" customWidth="1"/>
    <col min="745" max="745" width="25.85546875" bestFit="1" customWidth="1"/>
    <col min="746" max="746" width="33.42578125" bestFit="1" customWidth="1"/>
    <col min="747" max="747" width="32.7109375" bestFit="1" customWidth="1"/>
    <col min="748" max="748" width="35.7109375" bestFit="1" customWidth="1"/>
    <col min="749" max="749" width="32.85546875" bestFit="1" customWidth="1"/>
    <col min="750" max="750" width="27.85546875" bestFit="1" customWidth="1"/>
    <col min="751" max="751" width="28" bestFit="1" customWidth="1"/>
    <col min="752" max="752" width="27" bestFit="1" customWidth="1"/>
    <col min="753" max="753" width="27.140625" bestFit="1" customWidth="1"/>
    <col min="754" max="754" width="32.5703125" bestFit="1" customWidth="1"/>
    <col min="755" max="757" width="27" bestFit="1" customWidth="1"/>
    <col min="758" max="758" width="26.85546875" bestFit="1" customWidth="1"/>
    <col min="759" max="759" width="27.7109375" bestFit="1" customWidth="1"/>
    <col min="760" max="760" width="31.5703125" bestFit="1" customWidth="1"/>
    <col min="761" max="761" width="28.5703125" bestFit="1" customWidth="1"/>
    <col min="762" max="762" width="34.5703125" bestFit="1" customWidth="1"/>
    <col min="763" max="763" width="29.5703125" bestFit="1" customWidth="1"/>
    <col min="764" max="764" width="29.140625" bestFit="1" customWidth="1"/>
    <col min="765" max="765" width="28.85546875" bestFit="1" customWidth="1"/>
    <col min="766" max="766" width="28.140625" bestFit="1" customWidth="1"/>
    <col min="767" max="767" width="28.5703125" bestFit="1" customWidth="1"/>
    <col min="768" max="768" width="26.5703125" bestFit="1" customWidth="1"/>
    <col min="769" max="769" width="28" bestFit="1" customWidth="1"/>
    <col min="770" max="770" width="30.42578125" bestFit="1" customWidth="1"/>
    <col min="771" max="771" width="24.5703125" bestFit="1" customWidth="1"/>
    <col min="772" max="772" width="27" bestFit="1" customWidth="1"/>
    <col min="773" max="773" width="24.85546875" bestFit="1" customWidth="1"/>
    <col min="774" max="774" width="27" bestFit="1" customWidth="1"/>
    <col min="775" max="775" width="28.7109375" bestFit="1" customWidth="1"/>
    <col min="776" max="776" width="32.140625" bestFit="1" customWidth="1"/>
    <col min="777" max="777" width="29.42578125" bestFit="1" customWidth="1"/>
    <col min="778" max="778" width="31.5703125" bestFit="1" customWidth="1"/>
    <col min="779" max="783" width="14.5703125" bestFit="1" customWidth="1"/>
    <col min="784" max="784" width="34.140625" bestFit="1" customWidth="1"/>
    <col min="785" max="785" width="30.140625" bestFit="1" customWidth="1"/>
    <col min="786" max="786" width="34.5703125" bestFit="1" customWidth="1"/>
    <col min="787" max="787" width="33.140625" bestFit="1" customWidth="1"/>
    <col min="788" max="788" width="32.5703125" bestFit="1" customWidth="1"/>
    <col min="789" max="789" width="32.140625" bestFit="1" customWidth="1"/>
    <col min="790" max="790" width="24.140625" bestFit="1" customWidth="1"/>
    <col min="791" max="791" width="33.28515625" bestFit="1" customWidth="1"/>
    <col min="792" max="792" width="28.28515625" bestFit="1" customWidth="1"/>
    <col min="793" max="794" width="30.7109375" bestFit="1" customWidth="1"/>
    <col min="795" max="795" width="34.5703125" bestFit="1" customWidth="1"/>
    <col min="796" max="796" width="35.28515625" bestFit="1" customWidth="1"/>
    <col min="797" max="797" width="26.85546875" bestFit="1" customWidth="1"/>
    <col min="798" max="798" width="17.7109375" bestFit="1" customWidth="1"/>
    <col min="799" max="799" width="34.85546875" bestFit="1" customWidth="1"/>
    <col min="800" max="800" width="30.140625" bestFit="1" customWidth="1"/>
    <col min="801" max="801" width="27.85546875" bestFit="1" customWidth="1"/>
    <col min="802" max="802" width="31.85546875" bestFit="1" customWidth="1"/>
    <col min="803" max="803" width="32.42578125" bestFit="1" customWidth="1"/>
    <col min="804" max="805" width="30" bestFit="1" customWidth="1"/>
    <col min="806" max="806" width="32.28515625" bestFit="1" customWidth="1"/>
    <col min="807" max="807" width="31.28515625" bestFit="1" customWidth="1"/>
    <col min="808" max="808" width="22.85546875" bestFit="1" customWidth="1"/>
    <col min="809" max="809" width="27.140625" bestFit="1" customWidth="1"/>
    <col min="810" max="810" width="20.7109375" bestFit="1" customWidth="1"/>
    <col min="811" max="811" width="29.28515625" bestFit="1" customWidth="1"/>
    <col min="812" max="812" width="22.5703125" bestFit="1" customWidth="1"/>
    <col min="813" max="813" width="30.5703125" bestFit="1" customWidth="1"/>
    <col min="814" max="814" width="27.42578125" bestFit="1" customWidth="1"/>
    <col min="815" max="815" width="25.42578125" bestFit="1" customWidth="1"/>
    <col min="816" max="816" width="29.5703125" bestFit="1" customWidth="1"/>
    <col min="817" max="817" width="29" bestFit="1" customWidth="1"/>
    <col min="818" max="818" width="23.7109375" bestFit="1" customWidth="1"/>
    <col min="819" max="819" width="33.5703125" bestFit="1" customWidth="1"/>
    <col min="820" max="820" width="32.7109375" bestFit="1" customWidth="1"/>
    <col min="821" max="821" width="21" bestFit="1" customWidth="1"/>
    <col min="822" max="822" width="28.5703125" bestFit="1" customWidth="1"/>
    <col min="823" max="823" width="23.7109375" bestFit="1" customWidth="1"/>
    <col min="824" max="824" width="32.140625" bestFit="1" customWidth="1"/>
    <col min="825" max="825" width="27.85546875" bestFit="1" customWidth="1"/>
    <col min="826" max="828" width="23.140625" bestFit="1" customWidth="1"/>
    <col min="829" max="829" width="29.28515625" bestFit="1" customWidth="1"/>
    <col min="830" max="831" width="25" bestFit="1" customWidth="1"/>
    <col min="832" max="832" width="28" bestFit="1" customWidth="1"/>
    <col min="833" max="833" width="22.28515625" bestFit="1" customWidth="1"/>
    <col min="834" max="834" width="27.85546875" bestFit="1" customWidth="1"/>
    <col min="835" max="835" width="25.85546875" bestFit="1" customWidth="1"/>
    <col min="836" max="836" width="25" bestFit="1" customWidth="1"/>
    <col min="837" max="837" width="25.5703125" bestFit="1" customWidth="1"/>
    <col min="838" max="838" width="27.7109375" bestFit="1" customWidth="1"/>
    <col min="839" max="839" width="24.85546875" bestFit="1" customWidth="1"/>
    <col min="840" max="840" width="26.140625" bestFit="1" customWidth="1"/>
    <col min="841" max="841" width="19.28515625" bestFit="1" customWidth="1"/>
    <col min="842" max="842" width="28" bestFit="1" customWidth="1"/>
    <col min="843" max="843" width="27" bestFit="1" customWidth="1"/>
    <col min="844" max="844" width="32.85546875" bestFit="1" customWidth="1"/>
    <col min="845" max="845" width="31.85546875" bestFit="1" customWidth="1"/>
    <col min="846" max="846" width="30.140625" bestFit="1" customWidth="1"/>
    <col min="847" max="847" width="32.85546875" bestFit="1" customWidth="1"/>
    <col min="848" max="848" width="25.85546875" bestFit="1" customWidth="1"/>
    <col min="849" max="850" width="22.7109375" bestFit="1" customWidth="1"/>
    <col min="851" max="851" width="27.42578125" bestFit="1" customWidth="1"/>
    <col min="852" max="852" width="26.5703125" bestFit="1" customWidth="1"/>
    <col min="853" max="853" width="28.5703125" bestFit="1" customWidth="1"/>
    <col min="854" max="854" width="28" bestFit="1" customWidth="1"/>
    <col min="855" max="855" width="30.5703125" bestFit="1" customWidth="1"/>
    <col min="856" max="856" width="28.28515625" bestFit="1" customWidth="1"/>
    <col min="857" max="857" width="30" bestFit="1" customWidth="1"/>
    <col min="858" max="858" width="27.85546875" bestFit="1" customWidth="1"/>
    <col min="859" max="859" width="24.28515625" bestFit="1" customWidth="1"/>
    <col min="860" max="860" width="21.42578125" bestFit="1" customWidth="1"/>
    <col min="861" max="861" width="23.42578125" bestFit="1" customWidth="1"/>
    <col min="862" max="862" width="23.5703125" bestFit="1" customWidth="1"/>
    <col min="863" max="863" width="32.28515625" bestFit="1" customWidth="1"/>
    <col min="864" max="864" width="29.140625" bestFit="1" customWidth="1"/>
    <col min="865" max="865" width="22.140625" bestFit="1" customWidth="1"/>
    <col min="866" max="866" width="24.85546875" bestFit="1" customWidth="1"/>
    <col min="867" max="867" width="19.28515625" bestFit="1" customWidth="1"/>
    <col min="868" max="869" width="33.28515625" bestFit="1" customWidth="1"/>
    <col min="870" max="870" width="26" bestFit="1" customWidth="1"/>
    <col min="871" max="871" width="28.42578125" bestFit="1" customWidth="1"/>
    <col min="872" max="872" width="27.42578125" bestFit="1" customWidth="1"/>
    <col min="873" max="873" width="31.140625" bestFit="1" customWidth="1"/>
    <col min="874" max="874" width="13.7109375" bestFit="1" customWidth="1"/>
    <col min="875" max="875" width="18.5703125" bestFit="1" customWidth="1"/>
    <col min="876" max="876" width="23.140625" bestFit="1" customWidth="1"/>
    <col min="877" max="877" width="25.28515625" bestFit="1" customWidth="1"/>
    <col min="878" max="878" width="34.7109375" bestFit="1" customWidth="1"/>
    <col min="879" max="879" width="27.140625" bestFit="1" customWidth="1"/>
    <col min="880" max="880" width="22.5703125" bestFit="1" customWidth="1"/>
    <col min="881" max="881" width="30.28515625" bestFit="1" customWidth="1"/>
    <col min="882" max="882" width="27.85546875" bestFit="1" customWidth="1"/>
    <col min="883" max="883" width="32.85546875" bestFit="1" customWidth="1"/>
    <col min="884" max="884" width="28.28515625" bestFit="1" customWidth="1"/>
    <col min="885" max="885" width="25.5703125" bestFit="1" customWidth="1"/>
    <col min="886" max="886" width="24.42578125" bestFit="1" customWidth="1"/>
    <col min="887" max="887" width="29.42578125" bestFit="1" customWidth="1"/>
    <col min="888" max="888" width="33.5703125" bestFit="1" customWidth="1"/>
    <col min="889" max="889" width="31.28515625" bestFit="1" customWidth="1"/>
    <col min="890" max="890" width="23.28515625" bestFit="1" customWidth="1"/>
    <col min="891" max="891" width="29.85546875" bestFit="1" customWidth="1"/>
    <col min="892" max="893" width="26.140625" bestFit="1" customWidth="1"/>
    <col min="894" max="894" width="28.28515625" bestFit="1" customWidth="1"/>
    <col min="895" max="895" width="24.5703125" bestFit="1" customWidth="1"/>
    <col min="896" max="896" width="30.85546875" bestFit="1" customWidth="1"/>
    <col min="897" max="897" width="32.7109375" bestFit="1" customWidth="1"/>
    <col min="898" max="898" width="26.42578125" bestFit="1" customWidth="1"/>
    <col min="899" max="899" width="24.42578125" bestFit="1" customWidth="1"/>
    <col min="900" max="900" width="33.140625" bestFit="1" customWidth="1"/>
    <col min="901" max="901" width="28.85546875" bestFit="1" customWidth="1"/>
    <col min="902" max="903" width="31.5703125" bestFit="1" customWidth="1"/>
    <col min="904" max="904" width="28.28515625" bestFit="1" customWidth="1"/>
    <col min="905" max="905" width="25.140625" bestFit="1" customWidth="1"/>
    <col min="906" max="906" width="34.28515625" bestFit="1" customWidth="1"/>
    <col min="907" max="907" width="23.28515625" bestFit="1" customWidth="1"/>
    <col min="908" max="908" width="26.85546875" bestFit="1" customWidth="1"/>
    <col min="909" max="909" width="26" bestFit="1" customWidth="1"/>
    <col min="910" max="910" width="20.85546875" bestFit="1" customWidth="1"/>
    <col min="911" max="911" width="28.7109375" bestFit="1" customWidth="1"/>
    <col min="912" max="912" width="25.5703125" bestFit="1" customWidth="1"/>
    <col min="913" max="913" width="26.140625" bestFit="1" customWidth="1"/>
    <col min="914" max="915" width="30.5703125" bestFit="1" customWidth="1"/>
    <col min="916" max="916" width="20.28515625" bestFit="1" customWidth="1"/>
    <col min="917" max="917" width="32.140625" bestFit="1" customWidth="1"/>
    <col min="918" max="918" width="32.7109375" bestFit="1" customWidth="1"/>
    <col min="919" max="919" width="28.5703125" bestFit="1" customWidth="1"/>
    <col min="920" max="920" width="27" bestFit="1" customWidth="1"/>
    <col min="921" max="921" width="32.5703125" bestFit="1" customWidth="1"/>
    <col min="922" max="922" width="20.85546875" bestFit="1" customWidth="1"/>
    <col min="923" max="923" width="21.42578125" bestFit="1" customWidth="1"/>
    <col min="924" max="924" width="25" bestFit="1" customWidth="1"/>
    <col min="925" max="925" width="27" bestFit="1" customWidth="1"/>
    <col min="926" max="926" width="25.85546875" bestFit="1" customWidth="1"/>
    <col min="927" max="927" width="23.5703125" bestFit="1" customWidth="1"/>
    <col min="928" max="928" width="26.42578125" bestFit="1" customWidth="1"/>
    <col min="929" max="929" width="33" bestFit="1" customWidth="1"/>
    <col min="930" max="930" width="24" bestFit="1" customWidth="1"/>
    <col min="931" max="931" width="30.140625" bestFit="1" customWidth="1"/>
    <col min="932" max="932" width="23.7109375" bestFit="1" customWidth="1"/>
    <col min="933" max="933" width="28.85546875" bestFit="1" customWidth="1"/>
    <col min="934" max="934" width="33.28515625" bestFit="1" customWidth="1"/>
    <col min="935" max="935" width="29.5703125" bestFit="1" customWidth="1"/>
    <col min="936" max="936" width="29.28515625" bestFit="1" customWidth="1"/>
    <col min="937" max="937" width="33.5703125" bestFit="1" customWidth="1"/>
    <col min="938" max="938" width="27.85546875" bestFit="1" customWidth="1"/>
    <col min="939" max="939" width="31" bestFit="1" customWidth="1"/>
    <col min="940" max="940" width="31.7109375" bestFit="1" customWidth="1"/>
    <col min="941" max="941" width="32.42578125" bestFit="1" customWidth="1"/>
    <col min="942" max="942" width="30.42578125" bestFit="1" customWidth="1"/>
    <col min="943" max="943" width="24" bestFit="1" customWidth="1"/>
    <col min="944" max="944" width="27.28515625" bestFit="1" customWidth="1"/>
    <col min="945" max="945" width="29" bestFit="1" customWidth="1"/>
    <col min="946" max="946" width="25.140625" bestFit="1" customWidth="1"/>
    <col min="947" max="947" width="24.85546875" bestFit="1" customWidth="1"/>
    <col min="948" max="948" width="29.7109375" bestFit="1" customWidth="1"/>
    <col min="949" max="949" width="26.85546875" bestFit="1" customWidth="1"/>
    <col min="950" max="950" width="32.7109375" bestFit="1" customWidth="1"/>
    <col min="951" max="951" width="32" bestFit="1" customWidth="1"/>
    <col min="952" max="952" width="33.5703125" bestFit="1" customWidth="1"/>
    <col min="953" max="953" width="24.42578125" bestFit="1" customWidth="1"/>
    <col min="954" max="954" width="29.85546875" bestFit="1" customWidth="1"/>
    <col min="955" max="955" width="34.42578125" bestFit="1" customWidth="1"/>
    <col min="956" max="956" width="25.140625" bestFit="1" customWidth="1"/>
    <col min="957" max="957" width="24.42578125" bestFit="1" customWidth="1"/>
    <col min="958" max="958" width="35.28515625" bestFit="1" customWidth="1"/>
    <col min="959" max="959" width="27.5703125" bestFit="1" customWidth="1"/>
    <col min="960" max="960" width="29.5703125" bestFit="1" customWidth="1"/>
    <col min="961" max="961" width="30.85546875" bestFit="1" customWidth="1"/>
    <col min="962" max="962" width="28.7109375" bestFit="1" customWidth="1"/>
    <col min="963" max="963" width="31.5703125" bestFit="1" customWidth="1"/>
    <col min="964" max="964" width="25.28515625" bestFit="1" customWidth="1"/>
    <col min="965" max="965" width="16.85546875" bestFit="1" customWidth="1"/>
    <col min="966" max="966" width="24.5703125" bestFit="1" customWidth="1"/>
    <col min="967" max="967" width="31.140625" bestFit="1" customWidth="1"/>
    <col min="968" max="968" width="20.42578125" bestFit="1" customWidth="1"/>
    <col min="969" max="969" width="24.85546875" bestFit="1" customWidth="1"/>
    <col min="970" max="970" width="33" bestFit="1" customWidth="1"/>
    <col min="971" max="971" width="30.85546875" bestFit="1" customWidth="1"/>
    <col min="972" max="972" width="31.85546875" bestFit="1" customWidth="1"/>
    <col min="973" max="973" width="33.42578125" bestFit="1" customWidth="1"/>
    <col min="974" max="974" width="32.7109375" bestFit="1" customWidth="1"/>
    <col min="975" max="977" width="32.42578125" bestFit="1" customWidth="1"/>
    <col min="978" max="978" width="31.7109375" bestFit="1" customWidth="1"/>
    <col min="979" max="979" width="33.140625" bestFit="1" customWidth="1"/>
    <col min="980" max="980" width="25.28515625" bestFit="1" customWidth="1"/>
    <col min="981" max="981" width="27.5703125" bestFit="1" customWidth="1"/>
    <col min="982" max="982" width="28" bestFit="1" customWidth="1"/>
    <col min="983" max="983" width="28.85546875" bestFit="1" customWidth="1"/>
    <col min="984" max="984" width="27" bestFit="1" customWidth="1"/>
    <col min="985" max="985" width="26.85546875" bestFit="1" customWidth="1"/>
    <col min="986" max="986" width="21.5703125" bestFit="1" customWidth="1"/>
    <col min="987" max="987" width="27.42578125" bestFit="1" customWidth="1"/>
    <col min="988" max="988" width="27.5703125" bestFit="1" customWidth="1"/>
    <col min="989" max="989" width="28.85546875" bestFit="1" customWidth="1"/>
    <col min="990" max="990" width="24.140625" bestFit="1" customWidth="1"/>
    <col min="991" max="991" width="24" bestFit="1" customWidth="1"/>
    <col min="992" max="992" width="29" bestFit="1" customWidth="1"/>
    <col min="993" max="993" width="30" bestFit="1" customWidth="1"/>
    <col min="994" max="994" width="30.5703125" bestFit="1" customWidth="1"/>
    <col min="995" max="995" width="10.5703125" bestFit="1" customWidth="1"/>
    <col min="996" max="996" width="17.85546875" bestFit="1" customWidth="1"/>
    <col min="997" max="997" width="25.5703125" bestFit="1" customWidth="1"/>
    <col min="998" max="998" width="30.28515625" bestFit="1" customWidth="1"/>
    <col min="999" max="999" width="29.7109375" bestFit="1" customWidth="1"/>
    <col min="1000" max="1000" width="30.5703125" bestFit="1" customWidth="1"/>
    <col min="1001" max="1001" width="25.28515625" bestFit="1" customWidth="1"/>
    <col min="1002" max="1002" width="30" bestFit="1" customWidth="1"/>
    <col min="1003" max="1003" width="27.7109375" bestFit="1" customWidth="1"/>
    <col min="1004" max="1004" width="25.28515625" bestFit="1" customWidth="1"/>
    <col min="1005" max="1005" width="23.5703125" bestFit="1" customWidth="1"/>
    <col min="1006" max="1006" width="28.5703125" bestFit="1" customWidth="1"/>
    <col min="1007" max="1007" width="23.5703125" bestFit="1" customWidth="1"/>
    <col min="1008" max="1008" width="28.42578125" bestFit="1" customWidth="1"/>
    <col min="1009" max="1009" width="31.28515625" bestFit="1" customWidth="1"/>
    <col min="1010" max="1010" width="27.140625" bestFit="1" customWidth="1"/>
    <col min="1011" max="1011" width="30.42578125" bestFit="1" customWidth="1"/>
    <col min="1012" max="1013" width="26.42578125" bestFit="1" customWidth="1"/>
    <col min="1014" max="1014" width="33.140625" bestFit="1" customWidth="1"/>
    <col min="1015" max="1015" width="34.28515625" bestFit="1" customWidth="1"/>
    <col min="1016" max="1016" width="28.42578125" bestFit="1" customWidth="1"/>
    <col min="1017" max="1017" width="31" bestFit="1" customWidth="1"/>
    <col min="1018" max="1019" width="32.85546875" bestFit="1" customWidth="1"/>
    <col min="1020" max="1020" width="32.28515625" bestFit="1" customWidth="1"/>
    <col min="1021" max="1021" width="29.42578125" bestFit="1" customWidth="1"/>
    <col min="1022" max="1022" width="32.140625" bestFit="1" customWidth="1"/>
    <col min="1023" max="1023" width="31.5703125" bestFit="1" customWidth="1"/>
    <col min="1024" max="1024" width="33.28515625" bestFit="1" customWidth="1"/>
    <col min="1025" max="1026" width="29.7109375" bestFit="1" customWidth="1"/>
    <col min="1027" max="1027" width="34.7109375" bestFit="1" customWidth="1"/>
    <col min="1028" max="1028" width="35.5703125" bestFit="1" customWidth="1"/>
    <col min="1029" max="1029" width="30.140625" bestFit="1" customWidth="1"/>
    <col min="1030" max="1030" width="20.42578125" bestFit="1" customWidth="1"/>
    <col min="1031" max="1031" width="19.7109375" bestFit="1" customWidth="1"/>
    <col min="1032" max="1032" width="27" bestFit="1" customWidth="1"/>
    <col min="1033" max="1033" width="30.28515625" bestFit="1" customWidth="1"/>
    <col min="1034" max="1034" width="18.28515625" bestFit="1" customWidth="1"/>
    <col min="1035" max="1035" width="28.28515625" bestFit="1" customWidth="1"/>
    <col min="1036" max="1036" width="22.28515625" bestFit="1" customWidth="1"/>
    <col min="1037" max="1037" width="33.140625" bestFit="1" customWidth="1"/>
    <col min="1038" max="1038" width="25.42578125" bestFit="1" customWidth="1"/>
    <col min="1039" max="1039" width="28.28515625" bestFit="1" customWidth="1"/>
    <col min="1040" max="1040" width="27" bestFit="1" customWidth="1"/>
    <col min="1041" max="1041" width="20" bestFit="1" customWidth="1"/>
    <col min="1042" max="1042" width="25.140625" bestFit="1" customWidth="1"/>
    <col min="1043" max="1043" width="25.7109375" bestFit="1" customWidth="1"/>
    <col min="1044" max="1044" width="28" bestFit="1" customWidth="1"/>
    <col min="1045" max="1045" width="26.85546875" bestFit="1" customWidth="1"/>
    <col min="1046" max="1046" width="27.85546875" bestFit="1" customWidth="1"/>
    <col min="1047" max="1047" width="8.85546875" bestFit="1" customWidth="1"/>
    <col min="1048" max="1048" width="23.42578125" bestFit="1" customWidth="1"/>
    <col min="1049" max="1049" width="33.7109375" bestFit="1" customWidth="1"/>
    <col min="1050" max="1050" width="31.140625" bestFit="1" customWidth="1"/>
    <col min="1051" max="1051" width="31" bestFit="1" customWidth="1"/>
    <col min="1052" max="1052" width="33.7109375" bestFit="1" customWidth="1"/>
    <col min="1053" max="1053" width="33.5703125" bestFit="1" customWidth="1"/>
    <col min="1054" max="1054" width="13.28515625" bestFit="1" customWidth="1"/>
    <col min="1055" max="1055" width="24.5703125" bestFit="1" customWidth="1"/>
    <col min="1056" max="1056" width="26.85546875" bestFit="1" customWidth="1"/>
    <col min="1057" max="1057" width="24.42578125" bestFit="1" customWidth="1"/>
    <col min="1058" max="1058" width="34.28515625" bestFit="1" customWidth="1"/>
    <col min="1059" max="1059" width="25" bestFit="1" customWidth="1"/>
    <col min="1060" max="1060" width="24" bestFit="1" customWidth="1"/>
    <col min="1061" max="1061" width="25.5703125" bestFit="1" customWidth="1"/>
    <col min="1062" max="1064" width="25.85546875" bestFit="1" customWidth="1"/>
    <col min="1065" max="1065" width="25.5703125" bestFit="1" customWidth="1"/>
    <col min="1066" max="1066" width="33.85546875" bestFit="1" customWidth="1"/>
    <col min="1067" max="1068" width="32.140625" bestFit="1" customWidth="1"/>
    <col min="1069" max="1069" width="30.28515625" bestFit="1" customWidth="1"/>
    <col min="1070" max="1070" width="28.85546875" bestFit="1" customWidth="1"/>
    <col min="1071" max="1071" width="30.85546875" bestFit="1" customWidth="1"/>
    <col min="1072" max="1072" width="21.7109375" bestFit="1" customWidth="1"/>
    <col min="1073" max="1073" width="26.140625" bestFit="1" customWidth="1"/>
    <col min="1074" max="1074" width="24.7109375" bestFit="1" customWidth="1"/>
    <col min="1075" max="1075" width="33" bestFit="1" customWidth="1"/>
    <col min="1076" max="1076" width="25.28515625" bestFit="1" customWidth="1"/>
    <col min="1077" max="1077" width="18.85546875" bestFit="1" customWidth="1"/>
    <col min="1078" max="1078" width="24" bestFit="1" customWidth="1"/>
    <col min="1079" max="1079" width="27" bestFit="1" customWidth="1"/>
    <col min="1080" max="1080" width="30.7109375" bestFit="1" customWidth="1"/>
    <col min="1081" max="1081" width="34" bestFit="1" customWidth="1"/>
    <col min="1082" max="1082" width="24.28515625" bestFit="1" customWidth="1"/>
    <col min="1083" max="1083" width="32.7109375" bestFit="1" customWidth="1"/>
    <col min="1084" max="1084" width="30.7109375" bestFit="1" customWidth="1"/>
    <col min="1085" max="1086" width="24" bestFit="1" customWidth="1"/>
    <col min="1087" max="1087" width="25.140625" bestFit="1" customWidth="1"/>
    <col min="1088" max="1088" width="29" bestFit="1" customWidth="1"/>
    <col min="1089" max="1089" width="18.85546875" bestFit="1" customWidth="1"/>
    <col min="1090" max="1090" width="13.85546875" bestFit="1" customWidth="1"/>
    <col min="1091" max="1091" width="27.140625" bestFit="1" customWidth="1"/>
    <col min="1092" max="1092" width="28.140625" bestFit="1" customWidth="1"/>
    <col min="1093" max="1093" width="31.85546875" bestFit="1" customWidth="1"/>
    <col min="1094" max="1094" width="24.42578125" bestFit="1" customWidth="1"/>
    <col min="1095" max="1095" width="24.5703125" bestFit="1" customWidth="1"/>
    <col min="1096" max="1096" width="22.5703125" bestFit="1" customWidth="1"/>
    <col min="1097" max="1097" width="14.85546875" bestFit="1" customWidth="1"/>
    <col min="1098" max="1098" width="23.42578125" bestFit="1" customWidth="1"/>
    <col min="1099" max="1099" width="23.85546875" bestFit="1" customWidth="1"/>
    <col min="1100" max="1100" width="27.85546875" bestFit="1" customWidth="1"/>
    <col min="1101" max="1101" width="20.85546875" bestFit="1" customWidth="1"/>
    <col min="1102" max="1102" width="26.5703125" bestFit="1" customWidth="1"/>
    <col min="1103" max="1103" width="26.42578125" bestFit="1" customWidth="1"/>
    <col min="1104" max="1104" width="30.28515625" bestFit="1" customWidth="1"/>
    <col min="1105" max="1105" width="22.140625" bestFit="1" customWidth="1"/>
    <col min="1106" max="1106" width="26.42578125" bestFit="1" customWidth="1"/>
    <col min="1107" max="1107" width="23" bestFit="1" customWidth="1"/>
    <col min="1108" max="1108" width="27.85546875" bestFit="1" customWidth="1"/>
    <col min="1109" max="1109" width="26.42578125" bestFit="1" customWidth="1"/>
    <col min="1110" max="1110" width="12.5703125" bestFit="1" customWidth="1"/>
  </cols>
  <sheetData>
    <row r="3" spans="2:20" x14ac:dyDescent="0.25">
      <c r="R3" s="16" t="s">
        <v>1118</v>
      </c>
      <c r="S3" s="20" t="s">
        <v>1119</v>
      </c>
      <c r="T3" s="3" t="s">
        <v>1120</v>
      </c>
    </row>
    <row r="4" spans="2:20" x14ac:dyDescent="0.25">
      <c r="B4" t="s">
        <v>1111</v>
      </c>
      <c r="C4" t="s">
        <v>0</v>
      </c>
      <c r="R4" s="17">
        <v>1</v>
      </c>
      <c r="S4" s="21">
        <v>0.75</v>
      </c>
      <c r="T4" s="4">
        <v>0.5</v>
      </c>
    </row>
    <row r="5" spans="2:20" x14ac:dyDescent="0.25">
      <c r="B5" t="s">
        <v>1</v>
      </c>
      <c r="C5" t="s">
        <v>1121</v>
      </c>
      <c r="D5" t="s">
        <v>1122</v>
      </c>
      <c r="E5" t="s">
        <v>1123</v>
      </c>
      <c r="F5" t="s">
        <v>1124</v>
      </c>
      <c r="G5" t="s">
        <v>1125</v>
      </c>
      <c r="H5" t="s">
        <v>1126</v>
      </c>
      <c r="I5" t="s">
        <v>1127</v>
      </c>
      <c r="J5" t="s">
        <v>1128</v>
      </c>
      <c r="K5" t="s">
        <v>1129</v>
      </c>
      <c r="L5" t="s">
        <v>1130</v>
      </c>
      <c r="M5" t="s">
        <v>1131</v>
      </c>
      <c r="N5" t="s">
        <v>1112</v>
      </c>
      <c r="O5" s="8" t="s">
        <v>1112</v>
      </c>
      <c r="P5" s="9" t="s">
        <v>1117</v>
      </c>
      <c r="Q5" s="10" t="s">
        <v>1113</v>
      </c>
      <c r="R5" s="18" t="s">
        <v>1114</v>
      </c>
      <c r="S5" s="22" t="s">
        <v>1115</v>
      </c>
      <c r="T5" s="2" t="s">
        <v>1116</v>
      </c>
    </row>
    <row r="6" spans="2:20" x14ac:dyDescent="0.25">
      <c r="B6" t="s">
        <v>852</v>
      </c>
      <c r="H6">
        <v>1</v>
      </c>
      <c r="N6">
        <v>1</v>
      </c>
      <c r="O6" s="1">
        <v>1</v>
      </c>
      <c r="P6" s="11">
        <f t="shared" ref="P6:P69" si="0">O6/11</f>
        <v>9.0909090909090912E-2</v>
      </c>
      <c r="Q6" s="11">
        <f>P6/30</f>
        <v>3.0303030303030303E-3</v>
      </c>
      <c r="R6" s="19">
        <f>ODD(Q6*14)</f>
        <v>1</v>
      </c>
      <c r="S6" s="6">
        <f>ODD(Q6*10.5)</f>
        <v>1</v>
      </c>
      <c r="T6" s="5">
        <f>ODD(Q6*7)</f>
        <v>1</v>
      </c>
    </row>
    <row r="7" spans="2:20" x14ac:dyDescent="0.25">
      <c r="B7" t="s">
        <v>502</v>
      </c>
      <c r="D7">
        <v>1</v>
      </c>
      <c r="E7">
        <v>2</v>
      </c>
      <c r="F7">
        <v>2</v>
      </c>
      <c r="J7">
        <v>4</v>
      </c>
      <c r="K7">
        <v>1</v>
      </c>
      <c r="L7">
        <v>1</v>
      </c>
      <c r="M7">
        <v>1</v>
      </c>
      <c r="N7">
        <v>12</v>
      </c>
      <c r="O7" s="1">
        <v>12</v>
      </c>
      <c r="P7" s="11">
        <f t="shared" si="0"/>
        <v>1.0909090909090908</v>
      </c>
      <c r="Q7" s="11">
        <f t="shared" ref="Q7:Q70" si="1">P7/30</f>
        <v>3.6363636363636362E-2</v>
      </c>
      <c r="R7" s="19">
        <f>ODD(Q7*14)</f>
        <v>1</v>
      </c>
      <c r="S7" s="6">
        <f t="shared" ref="S7:S70" si="2">ODD(Q7*10.5)</f>
        <v>1</v>
      </c>
      <c r="T7" s="5">
        <f t="shared" ref="T7:T70" si="3">ODD(Q7*7)</f>
        <v>1</v>
      </c>
    </row>
    <row r="8" spans="2:20" x14ac:dyDescent="0.25">
      <c r="B8" t="s">
        <v>991</v>
      </c>
      <c r="K8">
        <v>1</v>
      </c>
      <c r="L8">
        <v>1</v>
      </c>
      <c r="N8">
        <v>2</v>
      </c>
      <c r="O8" s="1">
        <v>2</v>
      </c>
      <c r="P8" s="11">
        <f t="shared" si="0"/>
        <v>0.18181818181818182</v>
      </c>
      <c r="Q8" s="11">
        <f t="shared" si="1"/>
        <v>6.0606060606060606E-3</v>
      </c>
      <c r="R8" s="19">
        <f t="shared" ref="R8:R70" si="4">ODD(Q8*14)</f>
        <v>1</v>
      </c>
      <c r="S8" s="6">
        <f t="shared" si="2"/>
        <v>1</v>
      </c>
      <c r="T8" s="5">
        <f t="shared" si="3"/>
        <v>1</v>
      </c>
    </row>
    <row r="9" spans="2:20" x14ac:dyDescent="0.25">
      <c r="B9" t="s">
        <v>647</v>
      </c>
      <c r="E9">
        <v>1</v>
      </c>
      <c r="I9">
        <v>1</v>
      </c>
      <c r="L9">
        <v>1</v>
      </c>
      <c r="N9">
        <v>3</v>
      </c>
      <c r="O9" s="1">
        <v>3</v>
      </c>
      <c r="P9" s="11">
        <f t="shared" si="0"/>
        <v>0.27272727272727271</v>
      </c>
      <c r="Q9" s="11">
        <f t="shared" si="1"/>
        <v>9.0909090909090905E-3</v>
      </c>
      <c r="R9" s="19">
        <f t="shared" si="4"/>
        <v>1</v>
      </c>
      <c r="S9" s="6">
        <f t="shared" si="2"/>
        <v>1</v>
      </c>
      <c r="T9" s="5">
        <f t="shared" si="3"/>
        <v>1</v>
      </c>
    </row>
    <row r="10" spans="2:20" x14ac:dyDescent="0.25">
      <c r="B10" t="s">
        <v>503</v>
      </c>
      <c r="D10">
        <v>1</v>
      </c>
      <c r="F10">
        <v>1</v>
      </c>
      <c r="G10">
        <v>1</v>
      </c>
      <c r="H10">
        <v>1</v>
      </c>
      <c r="L10">
        <v>1</v>
      </c>
      <c r="N10">
        <v>5</v>
      </c>
      <c r="O10" s="1">
        <v>5</v>
      </c>
      <c r="P10" s="11">
        <f t="shared" si="0"/>
        <v>0.45454545454545453</v>
      </c>
      <c r="Q10" s="11">
        <f t="shared" si="1"/>
        <v>1.515151515151515E-2</v>
      </c>
      <c r="R10" s="19">
        <f t="shared" si="4"/>
        <v>1</v>
      </c>
      <c r="S10" s="6">
        <f t="shared" si="2"/>
        <v>1</v>
      </c>
      <c r="T10" s="5">
        <f t="shared" si="3"/>
        <v>1</v>
      </c>
    </row>
    <row r="11" spans="2:20" x14ac:dyDescent="0.25">
      <c r="B11" t="s">
        <v>2</v>
      </c>
      <c r="C11">
        <v>1</v>
      </c>
      <c r="E11">
        <v>1</v>
      </c>
      <c r="N11">
        <v>2</v>
      </c>
      <c r="O11" s="1">
        <v>2</v>
      </c>
      <c r="P11" s="11">
        <f t="shared" si="0"/>
        <v>0.18181818181818182</v>
      </c>
      <c r="Q11" s="11">
        <f t="shared" si="1"/>
        <v>6.0606060606060606E-3</v>
      </c>
      <c r="R11" s="19">
        <f t="shared" si="4"/>
        <v>1</v>
      </c>
      <c r="S11" s="6">
        <f t="shared" si="2"/>
        <v>1</v>
      </c>
      <c r="T11" s="5">
        <f t="shared" si="3"/>
        <v>1</v>
      </c>
    </row>
    <row r="12" spans="2:20" x14ac:dyDescent="0.25">
      <c r="B12" t="s">
        <v>954</v>
      </c>
      <c r="J12">
        <v>1</v>
      </c>
      <c r="N12">
        <v>1</v>
      </c>
      <c r="O12" s="1">
        <v>1</v>
      </c>
      <c r="P12" s="11">
        <f t="shared" si="0"/>
        <v>9.0909090909090912E-2</v>
      </c>
      <c r="Q12" s="11">
        <f t="shared" si="1"/>
        <v>3.0303030303030303E-3</v>
      </c>
      <c r="R12" s="19">
        <f t="shared" si="4"/>
        <v>1</v>
      </c>
      <c r="S12" s="6">
        <f t="shared" si="2"/>
        <v>1</v>
      </c>
      <c r="T12" s="5">
        <f t="shared" si="3"/>
        <v>1</v>
      </c>
    </row>
    <row r="13" spans="2:20" x14ac:dyDescent="0.25">
      <c r="B13" t="s">
        <v>3</v>
      </c>
      <c r="C13">
        <v>1</v>
      </c>
      <c r="D13">
        <v>1</v>
      </c>
      <c r="E13">
        <v>3</v>
      </c>
      <c r="N13">
        <v>5</v>
      </c>
      <c r="O13" s="1">
        <v>5</v>
      </c>
      <c r="P13" s="11">
        <f t="shared" si="0"/>
        <v>0.45454545454545453</v>
      </c>
      <c r="Q13" s="11">
        <f t="shared" si="1"/>
        <v>1.515151515151515E-2</v>
      </c>
      <c r="R13" s="19">
        <f t="shared" si="4"/>
        <v>1</v>
      </c>
      <c r="S13" s="6">
        <f t="shared" si="2"/>
        <v>1</v>
      </c>
      <c r="T13" s="5">
        <f t="shared" si="3"/>
        <v>1</v>
      </c>
    </row>
    <row r="14" spans="2:20" x14ac:dyDescent="0.25">
      <c r="B14" t="s">
        <v>4</v>
      </c>
      <c r="C14">
        <v>1</v>
      </c>
      <c r="E14">
        <v>7</v>
      </c>
      <c r="F14">
        <v>2</v>
      </c>
      <c r="G14">
        <v>1</v>
      </c>
      <c r="H14">
        <v>2</v>
      </c>
      <c r="I14">
        <v>2</v>
      </c>
      <c r="J14">
        <v>5</v>
      </c>
      <c r="K14">
        <v>2</v>
      </c>
      <c r="L14">
        <v>2</v>
      </c>
      <c r="M14">
        <v>1</v>
      </c>
      <c r="N14">
        <v>25</v>
      </c>
      <c r="O14" s="1">
        <v>25</v>
      </c>
      <c r="P14" s="11">
        <f t="shared" si="0"/>
        <v>2.2727272727272729</v>
      </c>
      <c r="Q14" s="11">
        <f t="shared" si="1"/>
        <v>7.575757575757576E-2</v>
      </c>
      <c r="R14" s="19">
        <f t="shared" si="4"/>
        <v>3</v>
      </c>
      <c r="S14" s="6">
        <f t="shared" si="2"/>
        <v>1</v>
      </c>
      <c r="T14" s="5">
        <f t="shared" si="3"/>
        <v>1</v>
      </c>
    </row>
    <row r="15" spans="2:20" x14ac:dyDescent="0.25">
      <c r="B15" t="s">
        <v>648</v>
      </c>
      <c r="E15">
        <v>8</v>
      </c>
      <c r="F15">
        <v>15</v>
      </c>
      <c r="G15">
        <v>10</v>
      </c>
      <c r="H15">
        <v>5</v>
      </c>
      <c r="I15">
        <v>7</v>
      </c>
      <c r="K15">
        <v>6</v>
      </c>
      <c r="N15">
        <v>51</v>
      </c>
      <c r="O15" s="1">
        <v>51</v>
      </c>
      <c r="P15" s="11">
        <f t="shared" si="0"/>
        <v>4.6363636363636367</v>
      </c>
      <c r="Q15" s="11">
        <f t="shared" si="1"/>
        <v>0.15454545454545457</v>
      </c>
      <c r="R15" s="19">
        <f t="shared" si="4"/>
        <v>3</v>
      </c>
      <c r="S15" s="6">
        <f t="shared" si="2"/>
        <v>3</v>
      </c>
      <c r="T15" s="5">
        <f t="shared" si="3"/>
        <v>3</v>
      </c>
    </row>
    <row r="16" spans="2:20" x14ac:dyDescent="0.25">
      <c r="B16" t="s">
        <v>649</v>
      </c>
      <c r="E16">
        <v>3</v>
      </c>
      <c r="H16">
        <v>0</v>
      </c>
      <c r="K16">
        <v>1</v>
      </c>
      <c r="L16">
        <v>1</v>
      </c>
      <c r="N16">
        <v>5</v>
      </c>
      <c r="O16" s="1">
        <v>5</v>
      </c>
      <c r="P16" s="11">
        <f t="shared" si="0"/>
        <v>0.45454545454545453</v>
      </c>
      <c r="Q16" s="11">
        <f t="shared" si="1"/>
        <v>1.515151515151515E-2</v>
      </c>
      <c r="R16" s="19">
        <f t="shared" si="4"/>
        <v>1</v>
      </c>
      <c r="S16" s="6">
        <f t="shared" si="2"/>
        <v>1</v>
      </c>
      <c r="T16" s="5">
        <f t="shared" si="3"/>
        <v>1</v>
      </c>
    </row>
    <row r="17" spans="2:20" x14ac:dyDescent="0.25">
      <c r="B17" t="s">
        <v>504</v>
      </c>
      <c r="D17">
        <v>1</v>
      </c>
      <c r="E17">
        <v>1</v>
      </c>
      <c r="G17">
        <v>1</v>
      </c>
      <c r="H17">
        <v>2</v>
      </c>
      <c r="I17">
        <v>2</v>
      </c>
      <c r="M17">
        <v>2</v>
      </c>
      <c r="N17">
        <v>9</v>
      </c>
      <c r="O17" s="1">
        <v>9</v>
      </c>
      <c r="P17" s="11">
        <f t="shared" si="0"/>
        <v>0.81818181818181823</v>
      </c>
      <c r="Q17" s="11">
        <f t="shared" si="1"/>
        <v>2.7272727272727275E-2</v>
      </c>
      <c r="R17" s="19">
        <f t="shared" si="4"/>
        <v>1</v>
      </c>
      <c r="S17" s="6">
        <f t="shared" si="2"/>
        <v>1</v>
      </c>
      <c r="T17" s="5">
        <f t="shared" si="3"/>
        <v>1</v>
      </c>
    </row>
    <row r="18" spans="2:20" x14ac:dyDescent="0.25">
      <c r="B18" t="s">
        <v>5</v>
      </c>
      <c r="C18">
        <v>5</v>
      </c>
      <c r="E18">
        <v>22</v>
      </c>
      <c r="F18">
        <v>19</v>
      </c>
      <c r="G18">
        <v>4</v>
      </c>
      <c r="I18">
        <v>18</v>
      </c>
      <c r="K18">
        <v>1</v>
      </c>
      <c r="L18">
        <v>1</v>
      </c>
      <c r="M18">
        <v>1</v>
      </c>
      <c r="N18">
        <v>71</v>
      </c>
      <c r="O18" s="1">
        <v>71</v>
      </c>
      <c r="P18" s="11">
        <f t="shared" si="0"/>
        <v>6.4545454545454541</v>
      </c>
      <c r="Q18" s="11">
        <f t="shared" si="1"/>
        <v>0.21515151515151515</v>
      </c>
      <c r="R18" s="19">
        <f t="shared" si="4"/>
        <v>5</v>
      </c>
      <c r="S18" s="6">
        <f t="shared" si="2"/>
        <v>3</v>
      </c>
      <c r="T18" s="5">
        <f t="shared" si="3"/>
        <v>3</v>
      </c>
    </row>
    <row r="19" spans="2:20" x14ac:dyDescent="0.25">
      <c r="B19" t="s">
        <v>6</v>
      </c>
      <c r="C19">
        <v>2</v>
      </c>
      <c r="F19">
        <v>1</v>
      </c>
      <c r="N19">
        <v>3</v>
      </c>
      <c r="O19" s="1">
        <v>3</v>
      </c>
      <c r="P19" s="11">
        <f t="shared" si="0"/>
        <v>0.27272727272727271</v>
      </c>
      <c r="Q19" s="11">
        <f t="shared" si="1"/>
        <v>9.0909090909090905E-3</v>
      </c>
      <c r="R19" s="19">
        <f t="shared" si="4"/>
        <v>1</v>
      </c>
      <c r="S19" s="6">
        <f t="shared" si="2"/>
        <v>1</v>
      </c>
      <c r="T19" s="5">
        <f t="shared" si="3"/>
        <v>1</v>
      </c>
    </row>
    <row r="20" spans="2:20" x14ac:dyDescent="0.25">
      <c r="B20" t="s">
        <v>7</v>
      </c>
      <c r="C20">
        <v>8</v>
      </c>
      <c r="D20">
        <v>3</v>
      </c>
      <c r="E20">
        <v>2</v>
      </c>
      <c r="F20">
        <v>5</v>
      </c>
      <c r="G20">
        <v>3</v>
      </c>
      <c r="H20">
        <v>1</v>
      </c>
      <c r="I20">
        <v>3</v>
      </c>
      <c r="J20">
        <v>3</v>
      </c>
      <c r="K20">
        <v>6</v>
      </c>
      <c r="L20">
        <v>3</v>
      </c>
      <c r="M20">
        <v>1</v>
      </c>
      <c r="N20">
        <v>38</v>
      </c>
      <c r="O20" s="1">
        <v>38</v>
      </c>
      <c r="P20" s="11">
        <f t="shared" si="0"/>
        <v>3.4545454545454546</v>
      </c>
      <c r="Q20" s="11">
        <f t="shared" si="1"/>
        <v>0.11515151515151516</v>
      </c>
      <c r="R20" s="19">
        <f t="shared" si="4"/>
        <v>3</v>
      </c>
      <c r="S20" s="6">
        <f t="shared" si="2"/>
        <v>3</v>
      </c>
      <c r="T20" s="5">
        <f t="shared" si="3"/>
        <v>1</v>
      </c>
    </row>
    <row r="21" spans="2:20" x14ac:dyDescent="0.25">
      <c r="B21" t="s">
        <v>1034</v>
      </c>
      <c r="L21">
        <v>1</v>
      </c>
      <c r="M21">
        <v>2</v>
      </c>
      <c r="N21">
        <v>3</v>
      </c>
      <c r="O21" s="1">
        <v>3</v>
      </c>
      <c r="P21" s="11">
        <f t="shared" si="0"/>
        <v>0.27272727272727271</v>
      </c>
      <c r="Q21" s="11">
        <f t="shared" si="1"/>
        <v>9.0909090909090905E-3</v>
      </c>
      <c r="R21" s="19">
        <f t="shared" si="4"/>
        <v>1</v>
      </c>
      <c r="S21" s="6">
        <f t="shared" si="2"/>
        <v>1</v>
      </c>
      <c r="T21" s="5">
        <f t="shared" si="3"/>
        <v>1</v>
      </c>
    </row>
    <row r="22" spans="2:20" x14ac:dyDescent="0.25">
      <c r="B22" t="s">
        <v>505</v>
      </c>
      <c r="D22">
        <v>1</v>
      </c>
      <c r="F22">
        <v>1</v>
      </c>
      <c r="N22">
        <v>2</v>
      </c>
      <c r="O22" s="1">
        <v>2</v>
      </c>
      <c r="P22" s="11">
        <f t="shared" si="0"/>
        <v>0.18181818181818182</v>
      </c>
      <c r="Q22" s="11">
        <f t="shared" si="1"/>
        <v>6.0606060606060606E-3</v>
      </c>
      <c r="R22" s="19">
        <f t="shared" si="4"/>
        <v>1</v>
      </c>
      <c r="S22" s="6">
        <f t="shared" si="2"/>
        <v>1</v>
      </c>
      <c r="T22" s="5">
        <f t="shared" si="3"/>
        <v>1</v>
      </c>
    </row>
    <row r="23" spans="2:20" x14ac:dyDescent="0.25">
      <c r="B23" t="s">
        <v>650</v>
      </c>
      <c r="P23" s="11">
        <f t="shared" si="0"/>
        <v>0</v>
      </c>
      <c r="Q23" s="11">
        <f t="shared" si="1"/>
        <v>0</v>
      </c>
      <c r="R23" s="19">
        <f t="shared" si="4"/>
        <v>1</v>
      </c>
      <c r="S23" s="6">
        <f t="shared" si="2"/>
        <v>1</v>
      </c>
      <c r="T23" s="5">
        <f t="shared" si="3"/>
        <v>1</v>
      </c>
    </row>
    <row r="24" spans="2:20" x14ac:dyDescent="0.25">
      <c r="B24" t="s">
        <v>506</v>
      </c>
      <c r="D24">
        <v>1</v>
      </c>
      <c r="M24">
        <v>1</v>
      </c>
      <c r="N24">
        <v>2</v>
      </c>
      <c r="O24" s="1">
        <v>2</v>
      </c>
      <c r="P24" s="11">
        <f t="shared" si="0"/>
        <v>0.18181818181818182</v>
      </c>
      <c r="Q24" s="11">
        <f t="shared" si="1"/>
        <v>6.0606060606060606E-3</v>
      </c>
      <c r="R24" s="19">
        <f t="shared" si="4"/>
        <v>1</v>
      </c>
      <c r="S24" s="6">
        <f t="shared" si="2"/>
        <v>1</v>
      </c>
      <c r="T24" s="5">
        <f t="shared" si="3"/>
        <v>1</v>
      </c>
    </row>
    <row r="25" spans="2:20" x14ac:dyDescent="0.25">
      <c r="B25" t="s">
        <v>8</v>
      </c>
      <c r="C25">
        <v>1</v>
      </c>
      <c r="D25">
        <v>1</v>
      </c>
      <c r="N25">
        <v>2</v>
      </c>
      <c r="O25" s="1">
        <v>2</v>
      </c>
      <c r="P25" s="11">
        <f t="shared" si="0"/>
        <v>0.18181818181818182</v>
      </c>
      <c r="Q25" s="11">
        <f t="shared" si="1"/>
        <v>6.0606060606060606E-3</v>
      </c>
      <c r="R25" s="19">
        <f t="shared" si="4"/>
        <v>1</v>
      </c>
      <c r="S25" s="6">
        <f t="shared" si="2"/>
        <v>1</v>
      </c>
      <c r="T25" s="5">
        <f t="shared" si="3"/>
        <v>1</v>
      </c>
    </row>
    <row r="26" spans="2:20" x14ac:dyDescent="0.25">
      <c r="B26" t="s">
        <v>9</v>
      </c>
      <c r="C26">
        <v>5</v>
      </c>
      <c r="D26">
        <v>2</v>
      </c>
      <c r="E26">
        <v>2</v>
      </c>
      <c r="F26">
        <v>1</v>
      </c>
      <c r="J26">
        <v>1</v>
      </c>
      <c r="K26">
        <v>1</v>
      </c>
      <c r="M26">
        <v>1</v>
      </c>
      <c r="N26">
        <v>13</v>
      </c>
      <c r="O26" s="1">
        <v>13</v>
      </c>
      <c r="P26" s="11">
        <f t="shared" si="0"/>
        <v>1.1818181818181819</v>
      </c>
      <c r="Q26" s="11">
        <f t="shared" si="1"/>
        <v>3.9393939393939398E-2</v>
      </c>
      <c r="R26" s="19">
        <f t="shared" si="4"/>
        <v>1</v>
      </c>
      <c r="S26" s="6">
        <f t="shared" si="2"/>
        <v>1</v>
      </c>
      <c r="T26" s="5">
        <f t="shared" si="3"/>
        <v>1</v>
      </c>
    </row>
    <row r="27" spans="2:20" x14ac:dyDescent="0.25">
      <c r="B27" t="s">
        <v>10</v>
      </c>
      <c r="C27">
        <v>2</v>
      </c>
      <c r="F27">
        <v>2</v>
      </c>
      <c r="G27">
        <v>2</v>
      </c>
      <c r="H27">
        <v>2</v>
      </c>
      <c r="N27">
        <v>8</v>
      </c>
      <c r="O27" s="1">
        <v>8</v>
      </c>
      <c r="P27" s="11">
        <f t="shared" si="0"/>
        <v>0.72727272727272729</v>
      </c>
      <c r="Q27" s="11">
        <f t="shared" si="1"/>
        <v>2.4242424242424242E-2</v>
      </c>
      <c r="R27" s="19">
        <f t="shared" si="4"/>
        <v>1</v>
      </c>
      <c r="S27" s="6">
        <f t="shared" si="2"/>
        <v>1</v>
      </c>
      <c r="T27" s="5">
        <f t="shared" si="3"/>
        <v>1</v>
      </c>
    </row>
    <row r="28" spans="2:20" x14ac:dyDescent="0.25">
      <c r="B28" t="s">
        <v>853</v>
      </c>
      <c r="H28">
        <v>4</v>
      </c>
      <c r="K28">
        <v>2</v>
      </c>
      <c r="N28">
        <v>6</v>
      </c>
      <c r="O28" s="1">
        <v>6</v>
      </c>
      <c r="P28" s="11">
        <f t="shared" si="0"/>
        <v>0.54545454545454541</v>
      </c>
      <c r="Q28" s="11">
        <f t="shared" si="1"/>
        <v>1.8181818181818181E-2</v>
      </c>
      <c r="R28" s="19">
        <f t="shared" si="4"/>
        <v>1</v>
      </c>
      <c r="S28" s="6">
        <f t="shared" si="2"/>
        <v>1</v>
      </c>
      <c r="T28" s="5">
        <f t="shared" si="3"/>
        <v>1</v>
      </c>
    </row>
    <row r="29" spans="2:20" x14ac:dyDescent="0.25">
      <c r="B29" t="s">
        <v>651</v>
      </c>
      <c r="E29">
        <v>1</v>
      </c>
      <c r="N29">
        <v>1</v>
      </c>
      <c r="O29" s="1">
        <v>1</v>
      </c>
      <c r="P29" s="11">
        <f t="shared" si="0"/>
        <v>9.0909090909090912E-2</v>
      </c>
      <c r="Q29" s="11">
        <f t="shared" si="1"/>
        <v>3.0303030303030303E-3</v>
      </c>
      <c r="R29" s="19">
        <f t="shared" si="4"/>
        <v>1</v>
      </c>
      <c r="S29" s="6">
        <f t="shared" si="2"/>
        <v>1</v>
      </c>
      <c r="T29" s="5">
        <f t="shared" si="3"/>
        <v>1</v>
      </c>
    </row>
    <row r="30" spans="2:20" x14ac:dyDescent="0.25">
      <c r="B30" t="s">
        <v>854</v>
      </c>
      <c r="H30">
        <v>1</v>
      </c>
      <c r="N30">
        <v>1</v>
      </c>
      <c r="O30" s="1">
        <v>1</v>
      </c>
      <c r="P30" s="11">
        <f t="shared" si="0"/>
        <v>9.0909090909090912E-2</v>
      </c>
      <c r="Q30" s="11">
        <f t="shared" si="1"/>
        <v>3.0303030303030303E-3</v>
      </c>
      <c r="R30" s="19">
        <f t="shared" si="4"/>
        <v>1</v>
      </c>
      <c r="S30" s="6">
        <f t="shared" si="2"/>
        <v>1</v>
      </c>
      <c r="T30" s="5">
        <f t="shared" si="3"/>
        <v>1</v>
      </c>
    </row>
    <row r="31" spans="2:20" x14ac:dyDescent="0.25">
      <c r="B31" t="s">
        <v>741</v>
      </c>
      <c r="F31">
        <v>1</v>
      </c>
      <c r="K31">
        <v>1</v>
      </c>
      <c r="N31">
        <v>2</v>
      </c>
      <c r="O31" s="1">
        <v>2</v>
      </c>
      <c r="P31" s="11">
        <f t="shared" si="0"/>
        <v>0.18181818181818182</v>
      </c>
      <c r="Q31" s="11">
        <f t="shared" si="1"/>
        <v>6.0606060606060606E-3</v>
      </c>
      <c r="R31" s="19">
        <f t="shared" si="4"/>
        <v>1</v>
      </c>
      <c r="S31" s="6">
        <f t="shared" si="2"/>
        <v>1</v>
      </c>
      <c r="T31" s="5">
        <f t="shared" si="3"/>
        <v>1</v>
      </c>
    </row>
    <row r="32" spans="2:20" x14ac:dyDescent="0.25">
      <c r="B32" t="s">
        <v>507</v>
      </c>
      <c r="D32">
        <v>1</v>
      </c>
      <c r="N32">
        <v>1</v>
      </c>
      <c r="O32" s="1">
        <v>1</v>
      </c>
      <c r="P32" s="11">
        <f t="shared" si="0"/>
        <v>9.0909090909090912E-2</v>
      </c>
      <c r="Q32" s="11">
        <f t="shared" si="1"/>
        <v>3.0303030303030303E-3</v>
      </c>
      <c r="R32" s="19">
        <f t="shared" si="4"/>
        <v>1</v>
      </c>
      <c r="S32" s="6">
        <f t="shared" si="2"/>
        <v>1</v>
      </c>
      <c r="T32" s="5">
        <f t="shared" si="3"/>
        <v>1</v>
      </c>
    </row>
    <row r="33" spans="2:20" x14ac:dyDescent="0.25">
      <c r="B33" t="s">
        <v>11</v>
      </c>
      <c r="C33">
        <v>6</v>
      </c>
      <c r="D33">
        <v>5</v>
      </c>
      <c r="E33">
        <v>2</v>
      </c>
      <c r="F33">
        <v>1</v>
      </c>
      <c r="G33">
        <v>4</v>
      </c>
      <c r="H33">
        <v>7</v>
      </c>
      <c r="I33">
        <v>4</v>
      </c>
      <c r="J33">
        <v>2</v>
      </c>
      <c r="K33">
        <v>1</v>
      </c>
      <c r="L33">
        <v>5</v>
      </c>
      <c r="M33">
        <v>4</v>
      </c>
      <c r="N33">
        <v>41</v>
      </c>
      <c r="O33" s="1">
        <v>41</v>
      </c>
      <c r="P33" s="11">
        <f t="shared" si="0"/>
        <v>3.7272727272727271</v>
      </c>
      <c r="Q33" s="11">
        <f t="shared" si="1"/>
        <v>0.12424242424242424</v>
      </c>
      <c r="R33" s="19">
        <f t="shared" si="4"/>
        <v>3</v>
      </c>
      <c r="S33" s="6">
        <f t="shared" si="2"/>
        <v>3</v>
      </c>
      <c r="T33" s="5">
        <f t="shared" si="3"/>
        <v>1</v>
      </c>
    </row>
    <row r="34" spans="2:20" x14ac:dyDescent="0.25">
      <c r="B34" t="s">
        <v>1080</v>
      </c>
      <c r="M34">
        <v>2</v>
      </c>
      <c r="N34">
        <v>2</v>
      </c>
      <c r="O34" s="1">
        <v>2</v>
      </c>
      <c r="P34" s="11">
        <f t="shared" si="0"/>
        <v>0.18181818181818182</v>
      </c>
      <c r="Q34" s="11">
        <f t="shared" si="1"/>
        <v>6.0606060606060606E-3</v>
      </c>
      <c r="R34" s="19">
        <f t="shared" si="4"/>
        <v>1</v>
      </c>
      <c r="S34" s="6">
        <f t="shared" si="2"/>
        <v>1</v>
      </c>
      <c r="T34" s="5">
        <f t="shared" si="3"/>
        <v>1</v>
      </c>
    </row>
    <row r="35" spans="2:20" x14ac:dyDescent="0.25">
      <c r="B35" t="s">
        <v>508</v>
      </c>
      <c r="D35">
        <v>1</v>
      </c>
      <c r="H35">
        <v>1</v>
      </c>
      <c r="N35">
        <v>2</v>
      </c>
      <c r="O35" s="1">
        <v>2</v>
      </c>
      <c r="P35" s="11">
        <f t="shared" si="0"/>
        <v>0.18181818181818182</v>
      </c>
      <c r="Q35" s="11">
        <f t="shared" si="1"/>
        <v>6.0606060606060606E-3</v>
      </c>
      <c r="R35" s="19">
        <f t="shared" si="4"/>
        <v>1</v>
      </c>
      <c r="S35" s="6">
        <f t="shared" si="2"/>
        <v>1</v>
      </c>
      <c r="T35" s="5">
        <f t="shared" si="3"/>
        <v>1</v>
      </c>
    </row>
    <row r="36" spans="2:20" x14ac:dyDescent="0.25">
      <c r="B36" t="s">
        <v>12</v>
      </c>
      <c r="C36">
        <v>3</v>
      </c>
      <c r="H36">
        <v>1</v>
      </c>
      <c r="I36">
        <v>2</v>
      </c>
      <c r="N36">
        <v>6</v>
      </c>
      <c r="O36" s="1">
        <v>6</v>
      </c>
      <c r="P36" s="11">
        <f t="shared" si="0"/>
        <v>0.54545454545454541</v>
      </c>
      <c r="Q36" s="11">
        <f t="shared" si="1"/>
        <v>1.8181818181818181E-2</v>
      </c>
      <c r="R36" s="19">
        <f t="shared" si="4"/>
        <v>1</v>
      </c>
      <c r="S36" s="6">
        <f t="shared" si="2"/>
        <v>1</v>
      </c>
      <c r="T36" s="5">
        <f t="shared" si="3"/>
        <v>1</v>
      </c>
    </row>
    <row r="37" spans="2:20" x14ac:dyDescent="0.25">
      <c r="B37" t="s">
        <v>1035</v>
      </c>
      <c r="L37">
        <v>1</v>
      </c>
      <c r="N37">
        <v>1</v>
      </c>
      <c r="O37" s="1">
        <v>1</v>
      </c>
      <c r="P37" s="11">
        <f t="shared" si="0"/>
        <v>9.0909090909090912E-2</v>
      </c>
      <c r="Q37" s="11">
        <f t="shared" si="1"/>
        <v>3.0303030303030303E-3</v>
      </c>
      <c r="R37" s="19">
        <f t="shared" si="4"/>
        <v>1</v>
      </c>
      <c r="S37" s="6">
        <f t="shared" si="2"/>
        <v>1</v>
      </c>
      <c r="T37" s="5">
        <f t="shared" si="3"/>
        <v>1</v>
      </c>
    </row>
    <row r="38" spans="2:20" x14ac:dyDescent="0.25">
      <c r="B38" t="s">
        <v>13</v>
      </c>
      <c r="C38">
        <v>2</v>
      </c>
      <c r="D38">
        <v>1</v>
      </c>
      <c r="E38">
        <v>2</v>
      </c>
      <c r="F38">
        <v>2</v>
      </c>
      <c r="G38">
        <v>3</v>
      </c>
      <c r="H38">
        <v>1</v>
      </c>
      <c r="I38">
        <v>1</v>
      </c>
      <c r="J38">
        <v>2</v>
      </c>
      <c r="K38">
        <v>2</v>
      </c>
      <c r="L38">
        <v>1</v>
      </c>
      <c r="N38">
        <v>17</v>
      </c>
      <c r="O38" s="1">
        <v>17</v>
      </c>
      <c r="P38" s="11">
        <f t="shared" si="0"/>
        <v>1.5454545454545454</v>
      </c>
      <c r="Q38" s="11">
        <f t="shared" si="1"/>
        <v>5.1515151515151514E-2</v>
      </c>
      <c r="R38" s="19">
        <f t="shared" si="4"/>
        <v>1</v>
      </c>
      <c r="S38" s="6">
        <f t="shared" si="2"/>
        <v>1</v>
      </c>
      <c r="T38" s="5">
        <f t="shared" si="3"/>
        <v>1</v>
      </c>
    </row>
    <row r="39" spans="2:20" x14ac:dyDescent="0.25">
      <c r="B39" t="s">
        <v>855</v>
      </c>
      <c r="H39">
        <v>1</v>
      </c>
      <c r="I39">
        <v>1</v>
      </c>
      <c r="J39">
        <v>4</v>
      </c>
      <c r="K39">
        <v>0</v>
      </c>
      <c r="M39">
        <v>2</v>
      </c>
      <c r="N39">
        <v>8</v>
      </c>
      <c r="O39" s="1">
        <v>8</v>
      </c>
      <c r="P39" s="11">
        <f t="shared" si="0"/>
        <v>0.72727272727272729</v>
      </c>
      <c r="Q39" s="11">
        <f t="shared" si="1"/>
        <v>2.4242424242424242E-2</v>
      </c>
      <c r="R39" s="19">
        <f t="shared" si="4"/>
        <v>1</v>
      </c>
      <c r="S39" s="6">
        <f t="shared" si="2"/>
        <v>1</v>
      </c>
      <c r="T39" s="5">
        <f t="shared" si="3"/>
        <v>1</v>
      </c>
    </row>
    <row r="40" spans="2:20" x14ac:dyDescent="0.25">
      <c r="B40" t="s">
        <v>955</v>
      </c>
      <c r="J40">
        <v>1</v>
      </c>
      <c r="K40">
        <v>2</v>
      </c>
      <c r="N40">
        <v>3</v>
      </c>
      <c r="O40" s="1">
        <v>3</v>
      </c>
      <c r="P40" s="11">
        <f t="shared" si="0"/>
        <v>0.27272727272727271</v>
      </c>
      <c r="Q40" s="11">
        <f t="shared" si="1"/>
        <v>9.0909090909090905E-3</v>
      </c>
      <c r="R40" s="19">
        <f t="shared" si="4"/>
        <v>1</v>
      </c>
      <c r="S40" s="6">
        <f t="shared" si="2"/>
        <v>1</v>
      </c>
      <c r="T40" s="5">
        <f t="shared" si="3"/>
        <v>1</v>
      </c>
    </row>
    <row r="41" spans="2:20" x14ac:dyDescent="0.25">
      <c r="B41" t="s">
        <v>1081</v>
      </c>
      <c r="M41">
        <v>1</v>
      </c>
      <c r="N41">
        <v>1</v>
      </c>
      <c r="O41" s="1">
        <v>1</v>
      </c>
      <c r="P41" s="11">
        <f t="shared" si="0"/>
        <v>9.0909090909090912E-2</v>
      </c>
      <c r="Q41" s="11">
        <f t="shared" si="1"/>
        <v>3.0303030303030303E-3</v>
      </c>
      <c r="R41" s="19">
        <f t="shared" si="4"/>
        <v>1</v>
      </c>
      <c r="S41" s="6">
        <f t="shared" si="2"/>
        <v>1</v>
      </c>
      <c r="T41" s="5">
        <f t="shared" si="3"/>
        <v>1</v>
      </c>
    </row>
    <row r="42" spans="2:20" x14ac:dyDescent="0.25">
      <c r="B42" t="s">
        <v>14</v>
      </c>
      <c r="C42">
        <v>21</v>
      </c>
      <c r="D42">
        <v>35</v>
      </c>
      <c r="E42">
        <v>30</v>
      </c>
      <c r="F42">
        <v>18</v>
      </c>
      <c r="G42">
        <v>3</v>
      </c>
      <c r="I42">
        <v>4</v>
      </c>
      <c r="J42">
        <v>2</v>
      </c>
      <c r="K42">
        <v>13</v>
      </c>
      <c r="N42">
        <v>126</v>
      </c>
      <c r="O42" s="1">
        <v>126</v>
      </c>
      <c r="P42" s="11">
        <f t="shared" si="0"/>
        <v>11.454545454545455</v>
      </c>
      <c r="Q42" s="11">
        <f t="shared" si="1"/>
        <v>0.38181818181818183</v>
      </c>
      <c r="R42" s="19">
        <f t="shared" si="4"/>
        <v>7</v>
      </c>
      <c r="S42" s="6">
        <f t="shared" si="2"/>
        <v>5</v>
      </c>
      <c r="T42" s="5">
        <f t="shared" si="3"/>
        <v>3</v>
      </c>
    </row>
    <row r="43" spans="2:20" x14ac:dyDescent="0.25">
      <c r="B43" t="s">
        <v>15</v>
      </c>
      <c r="C43">
        <v>2</v>
      </c>
      <c r="D43">
        <v>2</v>
      </c>
      <c r="J43">
        <v>5</v>
      </c>
      <c r="K43">
        <v>1</v>
      </c>
      <c r="N43">
        <v>10</v>
      </c>
      <c r="O43" s="1">
        <v>10</v>
      </c>
      <c r="P43" s="11">
        <f t="shared" si="0"/>
        <v>0.90909090909090906</v>
      </c>
      <c r="Q43" s="11">
        <f t="shared" si="1"/>
        <v>3.03030303030303E-2</v>
      </c>
      <c r="R43" s="19">
        <f t="shared" si="4"/>
        <v>1</v>
      </c>
      <c r="S43" s="6">
        <f t="shared" si="2"/>
        <v>1</v>
      </c>
      <c r="T43" s="5">
        <f t="shared" si="3"/>
        <v>1</v>
      </c>
    </row>
    <row r="44" spans="2:20" x14ac:dyDescent="0.25">
      <c r="B44" t="s">
        <v>16</v>
      </c>
      <c r="C44">
        <v>8</v>
      </c>
      <c r="D44">
        <v>6</v>
      </c>
      <c r="H44">
        <v>4</v>
      </c>
      <c r="I44">
        <v>7</v>
      </c>
      <c r="J44">
        <v>2</v>
      </c>
      <c r="K44">
        <v>1</v>
      </c>
      <c r="L44">
        <v>1</v>
      </c>
      <c r="M44">
        <v>1</v>
      </c>
      <c r="N44">
        <v>30</v>
      </c>
      <c r="O44" s="1">
        <v>30</v>
      </c>
      <c r="P44" s="11">
        <f t="shared" si="0"/>
        <v>2.7272727272727271</v>
      </c>
      <c r="Q44" s="11">
        <f t="shared" si="1"/>
        <v>9.0909090909090898E-2</v>
      </c>
      <c r="R44" s="19">
        <f t="shared" si="4"/>
        <v>3</v>
      </c>
      <c r="S44" s="6">
        <f t="shared" si="2"/>
        <v>1</v>
      </c>
      <c r="T44" s="5">
        <f t="shared" si="3"/>
        <v>1</v>
      </c>
    </row>
    <row r="45" spans="2:20" x14ac:dyDescent="0.25">
      <c r="B45" t="s">
        <v>17</v>
      </c>
      <c r="C45">
        <v>4</v>
      </c>
      <c r="D45">
        <v>6</v>
      </c>
      <c r="F45">
        <v>1</v>
      </c>
      <c r="G45">
        <v>5</v>
      </c>
      <c r="I45">
        <v>1</v>
      </c>
      <c r="J45">
        <v>5</v>
      </c>
      <c r="K45">
        <v>4</v>
      </c>
      <c r="L45">
        <v>4</v>
      </c>
      <c r="M45">
        <v>4</v>
      </c>
      <c r="N45">
        <v>34</v>
      </c>
      <c r="O45" s="1">
        <v>34</v>
      </c>
      <c r="P45" s="11">
        <f t="shared" si="0"/>
        <v>3.0909090909090908</v>
      </c>
      <c r="Q45" s="11">
        <f t="shared" si="1"/>
        <v>0.10303030303030303</v>
      </c>
      <c r="R45" s="19">
        <f t="shared" si="4"/>
        <v>3</v>
      </c>
      <c r="S45" s="6">
        <f t="shared" si="2"/>
        <v>3</v>
      </c>
      <c r="T45" s="5">
        <f t="shared" si="3"/>
        <v>1</v>
      </c>
    </row>
    <row r="46" spans="2:20" x14ac:dyDescent="0.25">
      <c r="B46" t="s">
        <v>742</v>
      </c>
      <c r="F46">
        <v>3</v>
      </c>
      <c r="G46">
        <v>3</v>
      </c>
      <c r="J46">
        <v>1</v>
      </c>
      <c r="K46">
        <v>4</v>
      </c>
      <c r="L46">
        <v>1</v>
      </c>
      <c r="N46">
        <v>12</v>
      </c>
      <c r="O46" s="1">
        <v>12</v>
      </c>
      <c r="P46" s="11">
        <f t="shared" si="0"/>
        <v>1.0909090909090908</v>
      </c>
      <c r="Q46" s="11">
        <f t="shared" si="1"/>
        <v>3.6363636363636362E-2</v>
      </c>
      <c r="R46" s="19">
        <f t="shared" si="4"/>
        <v>1</v>
      </c>
      <c r="S46" s="6">
        <f t="shared" si="2"/>
        <v>1</v>
      </c>
      <c r="T46" s="5">
        <f t="shared" si="3"/>
        <v>1</v>
      </c>
    </row>
    <row r="47" spans="2:20" x14ac:dyDescent="0.25">
      <c r="B47" t="s">
        <v>18</v>
      </c>
      <c r="C47">
        <v>1</v>
      </c>
      <c r="J47">
        <v>3</v>
      </c>
      <c r="L47">
        <v>3</v>
      </c>
      <c r="N47">
        <v>7</v>
      </c>
      <c r="O47" s="1">
        <v>7</v>
      </c>
      <c r="P47" s="11">
        <f t="shared" si="0"/>
        <v>0.63636363636363635</v>
      </c>
      <c r="Q47" s="11">
        <f t="shared" si="1"/>
        <v>2.1212121212121213E-2</v>
      </c>
      <c r="R47" s="19">
        <f t="shared" si="4"/>
        <v>1</v>
      </c>
      <c r="S47" s="6">
        <f t="shared" si="2"/>
        <v>1</v>
      </c>
      <c r="T47" s="5">
        <f t="shared" si="3"/>
        <v>1</v>
      </c>
    </row>
    <row r="48" spans="2:20" x14ac:dyDescent="0.25">
      <c r="B48" t="s">
        <v>743</v>
      </c>
      <c r="F48">
        <v>1</v>
      </c>
      <c r="G48">
        <v>5</v>
      </c>
      <c r="N48">
        <v>6</v>
      </c>
      <c r="O48" s="1">
        <v>6</v>
      </c>
      <c r="P48" s="11">
        <f t="shared" si="0"/>
        <v>0.54545454545454541</v>
      </c>
      <c r="Q48" s="11">
        <f t="shared" si="1"/>
        <v>1.8181818181818181E-2</v>
      </c>
      <c r="R48" s="19">
        <f t="shared" si="4"/>
        <v>1</v>
      </c>
      <c r="S48" s="6">
        <f t="shared" si="2"/>
        <v>1</v>
      </c>
      <c r="T48" s="5">
        <f t="shared" si="3"/>
        <v>1</v>
      </c>
    </row>
    <row r="49" spans="2:20" x14ac:dyDescent="0.25">
      <c r="B49" t="s">
        <v>856</v>
      </c>
      <c r="H49">
        <v>2</v>
      </c>
      <c r="I49">
        <v>7</v>
      </c>
      <c r="J49">
        <v>7</v>
      </c>
      <c r="K49">
        <v>7</v>
      </c>
      <c r="L49">
        <v>1</v>
      </c>
      <c r="N49">
        <v>24</v>
      </c>
      <c r="O49" s="1">
        <v>24</v>
      </c>
      <c r="P49" s="11">
        <f t="shared" si="0"/>
        <v>2.1818181818181817</v>
      </c>
      <c r="Q49" s="11">
        <f t="shared" si="1"/>
        <v>7.2727272727272724E-2</v>
      </c>
      <c r="R49" s="19">
        <f t="shared" si="4"/>
        <v>3</v>
      </c>
      <c r="S49" s="6">
        <f t="shared" si="2"/>
        <v>1</v>
      </c>
      <c r="T49" s="5">
        <f t="shared" si="3"/>
        <v>1</v>
      </c>
    </row>
    <row r="50" spans="2:20" x14ac:dyDescent="0.25">
      <c r="B50" t="s">
        <v>19</v>
      </c>
      <c r="C50">
        <v>4</v>
      </c>
      <c r="D50">
        <v>6</v>
      </c>
      <c r="M50">
        <v>6</v>
      </c>
      <c r="N50">
        <v>16</v>
      </c>
      <c r="O50" s="1">
        <v>16</v>
      </c>
      <c r="P50" s="11">
        <f t="shared" si="0"/>
        <v>1.4545454545454546</v>
      </c>
      <c r="Q50" s="11">
        <f t="shared" si="1"/>
        <v>4.8484848484848485E-2</v>
      </c>
      <c r="R50" s="19">
        <f t="shared" si="4"/>
        <v>1</v>
      </c>
      <c r="S50" s="6">
        <f t="shared" si="2"/>
        <v>1</v>
      </c>
      <c r="T50" s="5">
        <f t="shared" si="3"/>
        <v>1</v>
      </c>
    </row>
    <row r="51" spans="2:20" x14ac:dyDescent="0.25">
      <c r="B51" t="s">
        <v>20</v>
      </c>
      <c r="C51">
        <v>7</v>
      </c>
      <c r="D51">
        <v>5</v>
      </c>
      <c r="F51">
        <v>6</v>
      </c>
      <c r="N51">
        <v>18</v>
      </c>
      <c r="O51" s="1">
        <v>18</v>
      </c>
      <c r="P51" s="11">
        <f t="shared" si="0"/>
        <v>1.6363636363636365</v>
      </c>
      <c r="Q51" s="11">
        <f t="shared" si="1"/>
        <v>5.454545454545455E-2</v>
      </c>
      <c r="R51" s="19">
        <f t="shared" si="4"/>
        <v>1</v>
      </c>
      <c r="S51" s="6">
        <f t="shared" si="2"/>
        <v>1</v>
      </c>
      <c r="T51" s="5">
        <f t="shared" si="3"/>
        <v>1</v>
      </c>
    </row>
    <row r="52" spans="2:20" x14ac:dyDescent="0.25">
      <c r="B52" t="s">
        <v>21</v>
      </c>
      <c r="C52">
        <v>101</v>
      </c>
      <c r="D52">
        <v>67</v>
      </c>
      <c r="E52">
        <v>51</v>
      </c>
      <c r="F52">
        <v>48</v>
      </c>
      <c r="G52">
        <v>66</v>
      </c>
      <c r="H52">
        <v>83</v>
      </c>
      <c r="I52">
        <v>86</v>
      </c>
      <c r="J52">
        <v>92</v>
      </c>
      <c r="K52">
        <v>80</v>
      </c>
      <c r="L52">
        <v>94</v>
      </c>
      <c r="M52">
        <v>85</v>
      </c>
      <c r="N52">
        <v>853</v>
      </c>
      <c r="O52" s="1">
        <v>853</v>
      </c>
      <c r="P52" s="11">
        <f t="shared" si="0"/>
        <v>77.545454545454547</v>
      </c>
      <c r="Q52" s="11">
        <f t="shared" si="1"/>
        <v>2.584848484848485</v>
      </c>
      <c r="R52" s="19">
        <f t="shared" si="4"/>
        <v>37</v>
      </c>
      <c r="S52" s="6">
        <f t="shared" si="2"/>
        <v>29</v>
      </c>
      <c r="T52" s="5">
        <f t="shared" si="3"/>
        <v>19</v>
      </c>
    </row>
    <row r="53" spans="2:20" x14ac:dyDescent="0.25">
      <c r="B53" t="s">
        <v>22</v>
      </c>
      <c r="C53">
        <v>79</v>
      </c>
      <c r="D53">
        <v>69</v>
      </c>
      <c r="E53">
        <v>60</v>
      </c>
      <c r="F53">
        <v>62</v>
      </c>
      <c r="G53">
        <v>50</v>
      </c>
      <c r="H53">
        <v>64</v>
      </c>
      <c r="I53">
        <v>73</v>
      </c>
      <c r="J53">
        <v>64</v>
      </c>
      <c r="K53">
        <v>114</v>
      </c>
      <c r="L53">
        <v>60</v>
      </c>
      <c r="M53">
        <v>70</v>
      </c>
      <c r="N53">
        <v>765</v>
      </c>
      <c r="O53" s="1">
        <v>765</v>
      </c>
      <c r="P53" s="11">
        <f t="shared" si="0"/>
        <v>69.545454545454547</v>
      </c>
      <c r="Q53" s="11">
        <f t="shared" si="1"/>
        <v>2.3181818181818183</v>
      </c>
      <c r="R53" s="19">
        <f t="shared" si="4"/>
        <v>33</v>
      </c>
      <c r="S53" s="6">
        <f t="shared" si="2"/>
        <v>25</v>
      </c>
      <c r="T53" s="5">
        <f t="shared" si="3"/>
        <v>17</v>
      </c>
    </row>
    <row r="54" spans="2:20" x14ac:dyDescent="0.25">
      <c r="B54" t="s">
        <v>23</v>
      </c>
      <c r="C54">
        <v>41</v>
      </c>
      <c r="D54">
        <v>38</v>
      </c>
      <c r="E54">
        <v>44</v>
      </c>
      <c r="F54">
        <v>46</v>
      </c>
      <c r="G54">
        <v>55</v>
      </c>
      <c r="H54">
        <v>53</v>
      </c>
      <c r="I54">
        <v>66</v>
      </c>
      <c r="J54">
        <v>75</v>
      </c>
      <c r="K54">
        <v>114</v>
      </c>
      <c r="L54">
        <v>63</v>
      </c>
      <c r="M54">
        <v>80</v>
      </c>
      <c r="N54">
        <v>675</v>
      </c>
      <c r="O54" s="1">
        <v>675</v>
      </c>
      <c r="P54" s="11">
        <f t="shared" si="0"/>
        <v>61.363636363636367</v>
      </c>
      <c r="Q54" s="11">
        <f t="shared" si="1"/>
        <v>2.0454545454545454</v>
      </c>
      <c r="R54" s="19">
        <f t="shared" si="4"/>
        <v>29</v>
      </c>
      <c r="S54" s="6">
        <f t="shared" si="2"/>
        <v>23</v>
      </c>
      <c r="T54" s="5">
        <f t="shared" si="3"/>
        <v>15</v>
      </c>
    </row>
    <row r="55" spans="2:20" x14ac:dyDescent="0.25">
      <c r="B55" t="s">
        <v>509</v>
      </c>
      <c r="D55">
        <v>1</v>
      </c>
      <c r="G55">
        <v>1</v>
      </c>
      <c r="K55">
        <v>1</v>
      </c>
      <c r="L55">
        <v>3</v>
      </c>
      <c r="N55">
        <v>6</v>
      </c>
      <c r="O55" s="1">
        <v>6</v>
      </c>
      <c r="P55" s="11">
        <f t="shared" si="0"/>
        <v>0.54545454545454541</v>
      </c>
      <c r="Q55" s="11">
        <f t="shared" si="1"/>
        <v>1.8181818181818181E-2</v>
      </c>
      <c r="R55" s="19">
        <f t="shared" si="4"/>
        <v>1</v>
      </c>
      <c r="S55" s="6">
        <f t="shared" si="2"/>
        <v>1</v>
      </c>
      <c r="T55" s="5">
        <f t="shared" si="3"/>
        <v>1</v>
      </c>
    </row>
    <row r="56" spans="2:20" x14ac:dyDescent="0.25">
      <c r="B56" t="s">
        <v>1036</v>
      </c>
      <c r="L56">
        <v>2</v>
      </c>
      <c r="N56">
        <v>2</v>
      </c>
      <c r="O56" s="1">
        <v>2</v>
      </c>
      <c r="P56" s="11">
        <f t="shared" si="0"/>
        <v>0.18181818181818182</v>
      </c>
      <c r="Q56" s="11">
        <f t="shared" si="1"/>
        <v>6.0606060606060606E-3</v>
      </c>
      <c r="R56" s="19">
        <f t="shared" si="4"/>
        <v>1</v>
      </c>
      <c r="S56" s="6">
        <f t="shared" si="2"/>
        <v>1</v>
      </c>
      <c r="T56" s="5">
        <f t="shared" si="3"/>
        <v>1</v>
      </c>
    </row>
    <row r="57" spans="2:20" x14ac:dyDescent="0.25">
      <c r="B57" t="s">
        <v>24</v>
      </c>
      <c r="C57">
        <v>16</v>
      </c>
      <c r="D57">
        <v>10</v>
      </c>
      <c r="E57">
        <v>11</v>
      </c>
      <c r="F57">
        <v>11</v>
      </c>
      <c r="G57">
        <v>9</v>
      </c>
      <c r="H57">
        <v>8</v>
      </c>
      <c r="I57">
        <v>2</v>
      </c>
      <c r="J57">
        <v>2</v>
      </c>
      <c r="K57">
        <v>2</v>
      </c>
      <c r="L57">
        <v>4</v>
      </c>
      <c r="N57">
        <v>75</v>
      </c>
      <c r="O57" s="1">
        <v>75</v>
      </c>
      <c r="P57" s="11">
        <f t="shared" si="0"/>
        <v>6.8181818181818183</v>
      </c>
      <c r="Q57" s="11">
        <f t="shared" si="1"/>
        <v>0.22727272727272727</v>
      </c>
      <c r="R57" s="19">
        <f t="shared" si="4"/>
        <v>5</v>
      </c>
      <c r="S57" s="6">
        <f t="shared" si="2"/>
        <v>3</v>
      </c>
      <c r="T57" s="5">
        <f t="shared" si="3"/>
        <v>3</v>
      </c>
    </row>
    <row r="58" spans="2:20" x14ac:dyDescent="0.25">
      <c r="B58" t="s">
        <v>25</v>
      </c>
      <c r="C58">
        <v>2</v>
      </c>
      <c r="D58">
        <v>1</v>
      </c>
      <c r="F58">
        <v>2</v>
      </c>
      <c r="G58">
        <v>2</v>
      </c>
      <c r="I58">
        <v>2</v>
      </c>
      <c r="J58">
        <v>1</v>
      </c>
      <c r="K58">
        <v>2</v>
      </c>
      <c r="L58">
        <v>2</v>
      </c>
      <c r="M58">
        <v>1</v>
      </c>
      <c r="N58">
        <v>15</v>
      </c>
      <c r="O58" s="1">
        <v>15</v>
      </c>
      <c r="P58" s="11">
        <f t="shared" si="0"/>
        <v>1.3636363636363635</v>
      </c>
      <c r="Q58" s="11">
        <f t="shared" si="1"/>
        <v>4.5454545454545449E-2</v>
      </c>
      <c r="R58" s="19">
        <f t="shared" si="4"/>
        <v>1</v>
      </c>
      <c r="S58" s="6">
        <f t="shared" si="2"/>
        <v>1</v>
      </c>
      <c r="T58" s="5">
        <f t="shared" si="3"/>
        <v>1</v>
      </c>
    </row>
    <row r="59" spans="2:20" x14ac:dyDescent="0.25">
      <c r="B59" t="s">
        <v>26</v>
      </c>
      <c r="C59">
        <v>38</v>
      </c>
      <c r="D59">
        <v>1</v>
      </c>
      <c r="E59">
        <v>2</v>
      </c>
      <c r="F59">
        <v>6</v>
      </c>
      <c r="G59">
        <v>31</v>
      </c>
      <c r="H59">
        <v>22</v>
      </c>
      <c r="I59">
        <v>22</v>
      </c>
      <c r="J59">
        <v>16</v>
      </c>
      <c r="K59">
        <v>24</v>
      </c>
      <c r="L59">
        <v>7</v>
      </c>
      <c r="N59">
        <v>169</v>
      </c>
      <c r="O59" s="1">
        <v>169</v>
      </c>
      <c r="P59" s="11">
        <f t="shared" si="0"/>
        <v>15.363636363636363</v>
      </c>
      <c r="Q59" s="11">
        <f t="shared" si="1"/>
        <v>0.51212121212121209</v>
      </c>
      <c r="R59" s="19">
        <f t="shared" si="4"/>
        <v>9</v>
      </c>
      <c r="S59" s="6">
        <f t="shared" si="2"/>
        <v>7</v>
      </c>
      <c r="T59" s="5">
        <f t="shared" si="3"/>
        <v>5</v>
      </c>
    </row>
    <row r="60" spans="2:20" x14ac:dyDescent="0.25">
      <c r="B60" t="s">
        <v>27</v>
      </c>
      <c r="C60">
        <v>44</v>
      </c>
      <c r="D60">
        <v>10</v>
      </c>
      <c r="E60">
        <v>7</v>
      </c>
      <c r="F60">
        <v>18</v>
      </c>
      <c r="G60">
        <v>24</v>
      </c>
      <c r="H60">
        <v>28</v>
      </c>
      <c r="I60">
        <v>10</v>
      </c>
      <c r="J60">
        <v>3</v>
      </c>
      <c r="K60">
        <v>2</v>
      </c>
      <c r="L60">
        <v>34</v>
      </c>
      <c r="M60">
        <v>1</v>
      </c>
      <c r="N60">
        <v>181</v>
      </c>
      <c r="O60" s="1">
        <v>181</v>
      </c>
      <c r="P60" s="11">
        <f t="shared" si="0"/>
        <v>16.454545454545453</v>
      </c>
      <c r="Q60" s="11">
        <f t="shared" si="1"/>
        <v>0.54848484848484846</v>
      </c>
      <c r="R60" s="19">
        <f t="shared" si="4"/>
        <v>9</v>
      </c>
      <c r="S60" s="6">
        <f t="shared" si="2"/>
        <v>7</v>
      </c>
      <c r="T60" s="5">
        <f t="shared" si="3"/>
        <v>5</v>
      </c>
    </row>
    <row r="61" spans="2:20" x14ac:dyDescent="0.25">
      <c r="B61" t="s">
        <v>28</v>
      </c>
      <c r="C61">
        <v>1</v>
      </c>
      <c r="E61">
        <v>3</v>
      </c>
      <c r="G61">
        <v>2</v>
      </c>
      <c r="I61">
        <v>2</v>
      </c>
      <c r="J61">
        <v>1</v>
      </c>
      <c r="K61">
        <v>2</v>
      </c>
      <c r="L61">
        <v>1</v>
      </c>
      <c r="N61">
        <v>12</v>
      </c>
      <c r="O61" s="1">
        <v>12</v>
      </c>
      <c r="P61" s="11">
        <f t="shared" si="0"/>
        <v>1.0909090909090908</v>
      </c>
      <c r="Q61" s="11">
        <f t="shared" si="1"/>
        <v>3.6363636363636362E-2</v>
      </c>
      <c r="R61" s="19">
        <f t="shared" si="4"/>
        <v>1</v>
      </c>
      <c r="S61" s="6">
        <f t="shared" si="2"/>
        <v>1</v>
      </c>
      <c r="T61" s="5">
        <f t="shared" si="3"/>
        <v>1</v>
      </c>
    </row>
    <row r="62" spans="2:20" x14ac:dyDescent="0.25">
      <c r="B62" t="s">
        <v>956</v>
      </c>
      <c r="J62">
        <v>1</v>
      </c>
      <c r="N62">
        <v>1</v>
      </c>
      <c r="O62" s="1">
        <v>1</v>
      </c>
      <c r="P62" s="11">
        <f t="shared" si="0"/>
        <v>9.0909090909090912E-2</v>
      </c>
      <c r="Q62" s="11">
        <f t="shared" si="1"/>
        <v>3.0303030303030303E-3</v>
      </c>
      <c r="R62" s="19">
        <f t="shared" si="4"/>
        <v>1</v>
      </c>
      <c r="S62" s="6">
        <f t="shared" si="2"/>
        <v>1</v>
      </c>
      <c r="T62" s="5">
        <f t="shared" si="3"/>
        <v>1</v>
      </c>
    </row>
    <row r="63" spans="2:20" x14ac:dyDescent="0.25">
      <c r="B63" t="s">
        <v>652</v>
      </c>
      <c r="E63">
        <v>1</v>
      </c>
      <c r="F63">
        <v>2</v>
      </c>
      <c r="H63">
        <v>1</v>
      </c>
      <c r="J63">
        <v>1</v>
      </c>
      <c r="N63">
        <v>5</v>
      </c>
      <c r="O63" s="1">
        <v>5</v>
      </c>
      <c r="P63" s="11">
        <f t="shared" si="0"/>
        <v>0.45454545454545453</v>
      </c>
      <c r="Q63" s="11">
        <f t="shared" si="1"/>
        <v>1.515151515151515E-2</v>
      </c>
      <c r="R63" s="19">
        <f t="shared" si="4"/>
        <v>1</v>
      </c>
      <c r="S63" s="6">
        <f t="shared" si="2"/>
        <v>1</v>
      </c>
      <c r="T63" s="5">
        <f t="shared" si="3"/>
        <v>1</v>
      </c>
    </row>
    <row r="64" spans="2:20" x14ac:dyDescent="0.25">
      <c r="B64" t="s">
        <v>1037</v>
      </c>
      <c r="L64">
        <v>1</v>
      </c>
      <c r="N64">
        <v>1</v>
      </c>
      <c r="O64" s="1">
        <v>1</v>
      </c>
      <c r="P64" s="11">
        <f t="shared" si="0"/>
        <v>9.0909090909090912E-2</v>
      </c>
      <c r="Q64" s="11">
        <f t="shared" si="1"/>
        <v>3.0303030303030303E-3</v>
      </c>
      <c r="R64" s="19">
        <f t="shared" si="4"/>
        <v>1</v>
      </c>
      <c r="S64" s="6">
        <f t="shared" si="2"/>
        <v>1</v>
      </c>
      <c r="T64" s="5">
        <f t="shared" si="3"/>
        <v>1</v>
      </c>
    </row>
    <row r="65" spans="2:20" x14ac:dyDescent="0.25">
      <c r="B65" t="s">
        <v>510</v>
      </c>
      <c r="D65">
        <v>2</v>
      </c>
      <c r="E65">
        <v>2</v>
      </c>
      <c r="F65">
        <v>1</v>
      </c>
      <c r="N65">
        <v>5</v>
      </c>
      <c r="O65" s="1">
        <v>5</v>
      </c>
      <c r="P65" s="11">
        <f t="shared" si="0"/>
        <v>0.45454545454545453</v>
      </c>
      <c r="Q65" s="11">
        <f t="shared" si="1"/>
        <v>1.515151515151515E-2</v>
      </c>
      <c r="R65" s="19">
        <f t="shared" si="4"/>
        <v>1</v>
      </c>
      <c r="S65" s="6">
        <f t="shared" si="2"/>
        <v>1</v>
      </c>
      <c r="T65" s="5">
        <f t="shared" si="3"/>
        <v>1</v>
      </c>
    </row>
    <row r="66" spans="2:20" x14ac:dyDescent="0.25">
      <c r="B66" t="s">
        <v>29</v>
      </c>
      <c r="C66">
        <v>7</v>
      </c>
      <c r="E66">
        <v>1</v>
      </c>
      <c r="G66">
        <v>1</v>
      </c>
      <c r="H66">
        <v>2</v>
      </c>
      <c r="I66">
        <v>1</v>
      </c>
      <c r="J66">
        <v>2</v>
      </c>
      <c r="K66">
        <v>1</v>
      </c>
      <c r="L66">
        <v>1</v>
      </c>
      <c r="M66">
        <v>1</v>
      </c>
      <c r="N66">
        <v>17</v>
      </c>
      <c r="O66" s="1">
        <v>17</v>
      </c>
      <c r="P66" s="11">
        <f t="shared" si="0"/>
        <v>1.5454545454545454</v>
      </c>
      <c r="Q66" s="11">
        <f t="shared" si="1"/>
        <v>5.1515151515151514E-2</v>
      </c>
      <c r="R66" s="19">
        <f t="shared" si="4"/>
        <v>1</v>
      </c>
      <c r="S66" s="6">
        <f t="shared" si="2"/>
        <v>1</v>
      </c>
      <c r="T66" s="5">
        <f t="shared" si="3"/>
        <v>1</v>
      </c>
    </row>
    <row r="67" spans="2:20" x14ac:dyDescent="0.25">
      <c r="B67" t="s">
        <v>30</v>
      </c>
      <c r="C67">
        <v>1</v>
      </c>
      <c r="G67">
        <v>1</v>
      </c>
      <c r="I67">
        <v>1</v>
      </c>
      <c r="N67">
        <v>3</v>
      </c>
      <c r="O67" s="1">
        <v>3</v>
      </c>
      <c r="P67" s="11">
        <f t="shared" si="0"/>
        <v>0.27272727272727271</v>
      </c>
      <c r="Q67" s="11">
        <f t="shared" si="1"/>
        <v>9.0909090909090905E-3</v>
      </c>
      <c r="R67" s="19">
        <f t="shared" si="4"/>
        <v>1</v>
      </c>
      <c r="S67" s="6">
        <f t="shared" si="2"/>
        <v>1</v>
      </c>
      <c r="T67" s="5">
        <f t="shared" si="3"/>
        <v>1</v>
      </c>
    </row>
    <row r="68" spans="2:20" x14ac:dyDescent="0.25">
      <c r="B68" t="s">
        <v>744</v>
      </c>
      <c r="F68">
        <v>2</v>
      </c>
      <c r="N68">
        <v>2</v>
      </c>
      <c r="O68" s="1">
        <v>2</v>
      </c>
      <c r="P68" s="11">
        <f t="shared" si="0"/>
        <v>0.18181818181818182</v>
      </c>
      <c r="Q68" s="11">
        <f t="shared" si="1"/>
        <v>6.0606060606060606E-3</v>
      </c>
      <c r="R68" s="19">
        <f t="shared" si="4"/>
        <v>1</v>
      </c>
      <c r="S68" s="6">
        <f t="shared" si="2"/>
        <v>1</v>
      </c>
      <c r="T68" s="5">
        <f t="shared" si="3"/>
        <v>1</v>
      </c>
    </row>
    <row r="69" spans="2:20" x14ac:dyDescent="0.25">
      <c r="B69" t="s">
        <v>31</v>
      </c>
      <c r="C69">
        <v>2</v>
      </c>
      <c r="N69">
        <v>2</v>
      </c>
      <c r="O69" s="1">
        <v>2</v>
      </c>
      <c r="P69" s="11">
        <f t="shared" si="0"/>
        <v>0.18181818181818182</v>
      </c>
      <c r="Q69" s="11">
        <f t="shared" si="1"/>
        <v>6.0606060606060606E-3</v>
      </c>
      <c r="R69" s="19">
        <f t="shared" si="4"/>
        <v>1</v>
      </c>
      <c r="S69" s="6">
        <f t="shared" si="2"/>
        <v>1</v>
      </c>
      <c r="T69" s="5">
        <f t="shared" si="3"/>
        <v>1</v>
      </c>
    </row>
    <row r="70" spans="2:20" x14ac:dyDescent="0.25">
      <c r="B70" t="s">
        <v>32</v>
      </c>
      <c r="C70">
        <v>119</v>
      </c>
      <c r="D70">
        <v>127</v>
      </c>
      <c r="E70">
        <v>61</v>
      </c>
      <c r="F70">
        <v>89</v>
      </c>
      <c r="G70">
        <v>41</v>
      </c>
      <c r="H70">
        <v>58</v>
      </c>
      <c r="I70">
        <v>34</v>
      </c>
      <c r="J70">
        <v>42</v>
      </c>
      <c r="K70">
        <v>74</v>
      </c>
      <c r="L70">
        <v>49</v>
      </c>
      <c r="M70">
        <v>37</v>
      </c>
      <c r="N70">
        <v>731</v>
      </c>
      <c r="O70" s="1">
        <v>731</v>
      </c>
      <c r="P70" s="11">
        <f t="shared" ref="P70:P133" si="5">O70/11</f>
        <v>66.454545454545453</v>
      </c>
      <c r="Q70" s="11">
        <f t="shared" si="1"/>
        <v>2.2151515151515153</v>
      </c>
      <c r="R70" s="19">
        <f t="shared" si="4"/>
        <v>33</v>
      </c>
      <c r="S70" s="6">
        <f t="shared" si="2"/>
        <v>25</v>
      </c>
      <c r="T70" s="5">
        <f t="shared" si="3"/>
        <v>17</v>
      </c>
    </row>
    <row r="71" spans="2:20" x14ac:dyDescent="0.25">
      <c r="B71" t="s">
        <v>33</v>
      </c>
      <c r="C71">
        <v>4</v>
      </c>
      <c r="F71">
        <v>2</v>
      </c>
      <c r="G71">
        <v>3</v>
      </c>
      <c r="I71">
        <v>2</v>
      </c>
      <c r="J71">
        <v>4</v>
      </c>
      <c r="K71">
        <v>4</v>
      </c>
      <c r="L71">
        <v>1</v>
      </c>
      <c r="N71">
        <v>20</v>
      </c>
      <c r="O71" s="1">
        <v>20</v>
      </c>
      <c r="P71" s="11">
        <f t="shared" si="5"/>
        <v>1.8181818181818181</v>
      </c>
      <c r="Q71" s="11">
        <f t="shared" ref="Q71:Q134" si="6">P71/30</f>
        <v>6.0606060606060601E-2</v>
      </c>
      <c r="R71" s="19">
        <f t="shared" ref="R71:R134" si="7">ODD(Q71*14)</f>
        <v>1</v>
      </c>
      <c r="S71" s="6">
        <f t="shared" ref="S71:S134" si="8">ODD(Q71*10.5)</f>
        <v>1</v>
      </c>
      <c r="T71" s="5">
        <f t="shared" ref="T71:T134" si="9">ODD(Q71*7)</f>
        <v>1</v>
      </c>
    </row>
    <row r="72" spans="2:20" x14ac:dyDescent="0.25">
      <c r="B72" t="s">
        <v>34</v>
      </c>
      <c r="C72">
        <v>1</v>
      </c>
      <c r="N72">
        <v>1</v>
      </c>
      <c r="O72" s="1">
        <v>1</v>
      </c>
      <c r="P72" s="11">
        <f t="shared" si="5"/>
        <v>9.0909090909090912E-2</v>
      </c>
      <c r="Q72" s="11">
        <f t="shared" si="6"/>
        <v>3.0303030303030303E-3</v>
      </c>
      <c r="R72" s="19">
        <f t="shared" si="7"/>
        <v>1</v>
      </c>
      <c r="S72" s="6">
        <f t="shared" si="8"/>
        <v>1</v>
      </c>
      <c r="T72" s="5">
        <f t="shared" si="9"/>
        <v>1</v>
      </c>
    </row>
    <row r="73" spans="2:20" x14ac:dyDescent="0.25">
      <c r="B73" t="s">
        <v>35</v>
      </c>
      <c r="C73">
        <v>3</v>
      </c>
      <c r="D73">
        <v>1</v>
      </c>
      <c r="E73">
        <v>2</v>
      </c>
      <c r="F73">
        <v>1</v>
      </c>
      <c r="G73">
        <v>2</v>
      </c>
      <c r="I73">
        <v>3</v>
      </c>
      <c r="J73">
        <v>1</v>
      </c>
      <c r="K73">
        <v>3</v>
      </c>
      <c r="L73">
        <v>1</v>
      </c>
      <c r="M73">
        <v>2</v>
      </c>
      <c r="N73">
        <v>19</v>
      </c>
      <c r="O73" s="1">
        <v>19</v>
      </c>
      <c r="P73" s="11">
        <f t="shared" si="5"/>
        <v>1.7272727272727273</v>
      </c>
      <c r="Q73" s="11">
        <f t="shared" si="6"/>
        <v>5.7575757575757579E-2</v>
      </c>
      <c r="R73" s="19">
        <f t="shared" si="7"/>
        <v>1</v>
      </c>
      <c r="S73" s="6">
        <f t="shared" si="8"/>
        <v>1</v>
      </c>
      <c r="T73" s="5">
        <f t="shared" si="9"/>
        <v>1</v>
      </c>
    </row>
    <row r="74" spans="2:20" x14ac:dyDescent="0.25">
      <c r="B74" t="s">
        <v>857</v>
      </c>
      <c r="H74">
        <v>1</v>
      </c>
      <c r="I74">
        <v>9</v>
      </c>
      <c r="J74">
        <v>6</v>
      </c>
      <c r="K74">
        <v>9</v>
      </c>
      <c r="L74">
        <v>3</v>
      </c>
      <c r="M74">
        <v>3</v>
      </c>
      <c r="N74">
        <v>31</v>
      </c>
      <c r="O74" s="1">
        <v>31</v>
      </c>
      <c r="P74" s="11">
        <f t="shared" si="5"/>
        <v>2.8181818181818183</v>
      </c>
      <c r="Q74" s="11">
        <f t="shared" si="6"/>
        <v>9.3939393939393948E-2</v>
      </c>
      <c r="R74" s="19">
        <f t="shared" si="7"/>
        <v>3</v>
      </c>
      <c r="S74" s="6">
        <f t="shared" si="8"/>
        <v>1</v>
      </c>
      <c r="T74" s="5">
        <f t="shared" si="9"/>
        <v>1</v>
      </c>
    </row>
    <row r="75" spans="2:20" x14ac:dyDescent="0.25">
      <c r="B75" t="s">
        <v>811</v>
      </c>
      <c r="G75">
        <v>1</v>
      </c>
      <c r="H75">
        <v>2</v>
      </c>
      <c r="I75">
        <v>1</v>
      </c>
      <c r="J75">
        <v>1</v>
      </c>
      <c r="N75">
        <v>5</v>
      </c>
      <c r="O75" s="1">
        <v>5</v>
      </c>
      <c r="P75" s="11">
        <f t="shared" si="5"/>
        <v>0.45454545454545453</v>
      </c>
      <c r="Q75" s="11">
        <f t="shared" si="6"/>
        <v>1.515151515151515E-2</v>
      </c>
      <c r="R75" s="19">
        <f t="shared" si="7"/>
        <v>1</v>
      </c>
      <c r="S75" s="6">
        <f t="shared" si="8"/>
        <v>1</v>
      </c>
      <c r="T75" s="5">
        <f t="shared" si="9"/>
        <v>1</v>
      </c>
    </row>
    <row r="76" spans="2:20" x14ac:dyDescent="0.25">
      <c r="B76" t="s">
        <v>36</v>
      </c>
      <c r="C76">
        <v>1</v>
      </c>
      <c r="D76">
        <v>1</v>
      </c>
      <c r="N76">
        <v>2</v>
      </c>
      <c r="O76" s="1">
        <v>2</v>
      </c>
      <c r="P76" s="11">
        <f t="shared" si="5"/>
        <v>0.18181818181818182</v>
      </c>
      <c r="Q76" s="11">
        <f t="shared" si="6"/>
        <v>6.0606060606060606E-3</v>
      </c>
      <c r="R76" s="19">
        <f t="shared" si="7"/>
        <v>1</v>
      </c>
      <c r="S76" s="6">
        <f t="shared" si="8"/>
        <v>1</v>
      </c>
      <c r="T76" s="5">
        <f t="shared" si="9"/>
        <v>1</v>
      </c>
    </row>
    <row r="77" spans="2:20" x14ac:dyDescent="0.25">
      <c r="B77" t="s">
        <v>37</v>
      </c>
      <c r="C77">
        <v>45</v>
      </c>
      <c r="D77">
        <v>17</v>
      </c>
      <c r="E77">
        <v>16</v>
      </c>
      <c r="F77">
        <v>5</v>
      </c>
      <c r="G77">
        <v>3</v>
      </c>
      <c r="H77">
        <v>11</v>
      </c>
      <c r="I77">
        <v>2</v>
      </c>
      <c r="J77">
        <v>1</v>
      </c>
      <c r="K77">
        <v>13</v>
      </c>
      <c r="L77">
        <v>5</v>
      </c>
      <c r="M77">
        <v>6</v>
      </c>
      <c r="N77">
        <v>124</v>
      </c>
      <c r="O77" s="1">
        <v>124</v>
      </c>
      <c r="P77" s="11">
        <f t="shared" si="5"/>
        <v>11.272727272727273</v>
      </c>
      <c r="Q77" s="11">
        <f t="shared" si="6"/>
        <v>0.37575757575757579</v>
      </c>
      <c r="R77" s="19">
        <f t="shared" si="7"/>
        <v>7</v>
      </c>
      <c r="S77" s="6">
        <f t="shared" si="8"/>
        <v>5</v>
      </c>
      <c r="T77" s="5">
        <f t="shared" si="9"/>
        <v>3</v>
      </c>
    </row>
    <row r="78" spans="2:20" x14ac:dyDescent="0.25">
      <c r="B78" t="s">
        <v>38</v>
      </c>
      <c r="C78">
        <v>1</v>
      </c>
      <c r="D78">
        <v>3</v>
      </c>
      <c r="E78">
        <v>9</v>
      </c>
      <c r="G78">
        <v>2</v>
      </c>
      <c r="H78">
        <v>8</v>
      </c>
      <c r="I78">
        <v>7</v>
      </c>
      <c r="K78">
        <v>1</v>
      </c>
      <c r="M78">
        <v>4</v>
      </c>
      <c r="N78">
        <v>35</v>
      </c>
      <c r="O78" s="1">
        <v>35</v>
      </c>
      <c r="P78" s="11">
        <f t="shared" si="5"/>
        <v>3.1818181818181817</v>
      </c>
      <c r="Q78" s="11">
        <f t="shared" si="6"/>
        <v>0.10606060606060605</v>
      </c>
      <c r="R78" s="19">
        <f t="shared" si="7"/>
        <v>3</v>
      </c>
      <c r="S78" s="6">
        <f t="shared" si="8"/>
        <v>3</v>
      </c>
      <c r="T78" s="5">
        <f t="shared" si="9"/>
        <v>1</v>
      </c>
    </row>
    <row r="79" spans="2:20" x14ac:dyDescent="0.25">
      <c r="B79" t="s">
        <v>858</v>
      </c>
      <c r="H79">
        <v>1</v>
      </c>
      <c r="N79">
        <v>1</v>
      </c>
      <c r="O79" s="1">
        <v>1</v>
      </c>
      <c r="P79" s="11">
        <f t="shared" si="5"/>
        <v>9.0909090909090912E-2</v>
      </c>
      <c r="Q79" s="11">
        <f t="shared" si="6"/>
        <v>3.0303030303030303E-3</v>
      </c>
      <c r="R79" s="19">
        <f t="shared" si="7"/>
        <v>1</v>
      </c>
      <c r="S79" s="6">
        <f t="shared" si="8"/>
        <v>1</v>
      </c>
      <c r="T79" s="5">
        <f t="shared" si="9"/>
        <v>1</v>
      </c>
    </row>
    <row r="80" spans="2:20" x14ac:dyDescent="0.25">
      <c r="B80" t="s">
        <v>511</v>
      </c>
      <c r="D80">
        <v>19</v>
      </c>
      <c r="E80">
        <v>17</v>
      </c>
      <c r="F80">
        <v>1</v>
      </c>
      <c r="G80">
        <v>2</v>
      </c>
      <c r="I80">
        <v>10</v>
      </c>
      <c r="J80">
        <v>11</v>
      </c>
      <c r="K80">
        <v>14</v>
      </c>
      <c r="L80">
        <v>8</v>
      </c>
      <c r="M80">
        <v>5</v>
      </c>
      <c r="N80">
        <v>87</v>
      </c>
      <c r="O80" s="1">
        <v>87</v>
      </c>
      <c r="P80" s="11">
        <f t="shared" si="5"/>
        <v>7.9090909090909092</v>
      </c>
      <c r="Q80" s="11">
        <f t="shared" si="6"/>
        <v>0.26363636363636361</v>
      </c>
      <c r="R80" s="19">
        <f t="shared" si="7"/>
        <v>5</v>
      </c>
      <c r="S80" s="6">
        <f t="shared" si="8"/>
        <v>3</v>
      </c>
      <c r="T80" s="5">
        <f t="shared" si="9"/>
        <v>3</v>
      </c>
    </row>
    <row r="81" spans="2:20" x14ac:dyDescent="0.25">
      <c r="B81" t="s">
        <v>39</v>
      </c>
      <c r="C81">
        <v>17</v>
      </c>
      <c r="F81">
        <v>18</v>
      </c>
      <c r="G81">
        <v>16</v>
      </c>
      <c r="H81">
        <v>19</v>
      </c>
      <c r="K81">
        <v>7</v>
      </c>
      <c r="L81">
        <v>8</v>
      </c>
      <c r="M81">
        <v>4</v>
      </c>
      <c r="N81">
        <v>89</v>
      </c>
      <c r="O81" s="1">
        <v>89</v>
      </c>
      <c r="P81" s="11">
        <f t="shared" si="5"/>
        <v>8.0909090909090917</v>
      </c>
      <c r="Q81" s="11">
        <f t="shared" si="6"/>
        <v>0.26969696969696971</v>
      </c>
      <c r="R81" s="19">
        <f t="shared" si="7"/>
        <v>5</v>
      </c>
      <c r="S81" s="6">
        <f t="shared" si="8"/>
        <v>3</v>
      </c>
      <c r="T81" s="5">
        <f t="shared" si="9"/>
        <v>3</v>
      </c>
    </row>
    <row r="82" spans="2:20" x14ac:dyDescent="0.25">
      <c r="B82" t="s">
        <v>745</v>
      </c>
      <c r="F82">
        <v>1</v>
      </c>
      <c r="G82">
        <v>2</v>
      </c>
      <c r="I82">
        <v>2</v>
      </c>
      <c r="J82">
        <v>3</v>
      </c>
      <c r="L82">
        <v>1</v>
      </c>
      <c r="N82">
        <v>9</v>
      </c>
      <c r="O82" s="1">
        <v>9</v>
      </c>
      <c r="P82" s="11">
        <f t="shared" si="5"/>
        <v>0.81818181818181823</v>
      </c>
      <c r="Q82" s="11">
        <f t="shared" si="6"/>
        <v>2.7272727272727275E-2</v>
      </c>
      <c r="R82" s="19">
        <f t="shared" si="7"/>
        <v>1</v>
      </c>
      <c r="S82" s="6">
        <f t="shared" si="8"/>
        <v>1</v>
      </c>
      <c r="T82" s="5">
        <f t="shared" si="9"/>
        <v>1</v>
      </c>
    </row>
    <row r="83" spans="2:20" x14ac:dyDescent="0.25">
      <c r="B83" t="s">
        <v>40</v>
      </c>
      <c r="C83">
        <v>2</v>
      </c>
      <c r="D83">
        <v>3</v>
      </c>
      <c r="E83">
        <v>1</v>
      </c>
      <c r="F83">
        <v>3</v>
      </c>
      <c r="G83">
        <v>2</v>
      </c>
      <c r="I83">
        <v>2</v>
      </c>
      <c r="J83">
        <v>2</v>
      </c>
      <c r="K83">
        <v>2</v>
      </c>
      <c r="L83">
        <v>8</v>
      </c>
      <c r="N83">
        <v>25</v>
      </c>
      <c r="O83" s="1">
        <v>25</v>
      </c>
      <c r="P83" s="11">
        <f t="shared" si="5"/>
        <v>2.2727272727272729</v>
      </c>
      <c r="Q83" s="11">
        <f t="shared" si="6"/>
        <v>7.575757575757576E-2</v>
      </c>
      <c r="R83" s="19">
        <f t="shared" si="7"/>
        <v>3</v>
      </c>
      <c r="S83" s="6">
        <f t="shared" si="8"/>
        <v>1</v>
      </c>
      <c r="T83" s="5">
        <f t="shared" si="9"/>
        <v>1</v>
      </c>
    </row>
    <row r="84" spans="2:20" x14ac:dyDescent="0.25">
      <c r="B84" t="s">
        <v>812</v>
      </c>
      <c r="G84">
        <v>0</v>
      </c>
      <c r="N84">
        <v>0</v>
      </c>
      <c r="O84" s="1">
        <v>0</v>
      </c>
      <c r="P84" s="11">
        <f t="shared" si="5"/>
        <v>0</v>
      </c>
      <c r="Q84" s="11">
        <f t="shared" si="6"/>
        <v>0</v>
      </c>
      <c r="R84" s="19">
        <f t="shared" si="7"/>
        <v>1</v>
      </c>
      <c r="S84" s="6">
        <f t="shared" si="8"/>
        <v>1</v>
      </c>
      <c r="T84" s="7">
        <f t="shared" si="9"/>
        <v>1</v>
      </c>
    </row>
    <row r="85" spans="2:20" x14ac:dyDescent="0.25">
      <c r="B85" t="s">
        <v>859</v>
      </c>
      <c r="H85">
        <v>3</v>
      </c>
      <c r="I85">
        <v>2</v>
      </c>
      <c r="J85">
        <v>0</v>
      </c>
      <c r="K85">
        <v>2</v>
      </c>
      <c r="L85">
        <v>4</v>
      </c>
      <c r="N85">
        <v>11</v>
      </c>
      <c r="O85" s="1">
        <v>11</v>
      </c>
      <c r="P85" s="11">
        <f t="shared" si="5"/>
        <v>1</v>
      </c>
      <c r="Q85" s="11">
        <f t="shared" si="6"/>
        <v>3.3333333333333333E-2</v>
      </c>
      <c r="R85" s="19">
        <f t="shared" si="7"/>
        <v>1</v>
      </c>
      <c r="S85" s="6">
        <f t="shared" si="8"/>
        <v>1</v>
      </c>
      <c r="T85" s="5">
        <f t="shared" si="9"/>
        <v>1</v>
      </c>
    </row>
    <row r="86" spans="2:20" x14ac:dyDescent="0.25">
      <c r="B86" t="s">
        <v>41</v>
      </c>
      <c r="C86">
        <v>4</v>
      </c>
      <c r="D86">
        <v>47</v>
      </c>
      <c r="N86">
        <v>51</v>
      </c>
      <c r="O86" s="1">
        <v>51</v>
      </c>
      <c r="P86" s="11">
        <f t="shared" si="5"/>
        <v>4.6363636363636367</v>
      </c>
      <c r="Q86" s="11">
        <f t="shared" si="6"/>
        <v>0.15454545454545457</v>
      </c>
      <c r="R86" s="19">
        <f t="shared" si="7"/>
        <v>3</v>
      </c>
      <c r="S86" s="6">
        <f t="shared" si="8"/>
        <v>3</v>
      </c>
      <c r="T86" s="5">
        <f t="shared" si="9"/>
        <v>3</v>
      </c>
    </row>
    <row r="87" spans="2:20" x14ac:dyDescent="0.25">
      <c r="B87" t="s">
        <v>813</v>
      </c>
      <c r="G87">
        <v>1</v>
      </c>
      <c r="I87">
        <v>1</v>
      </c>
      <c r="J87">
        <v>1</v>
      </c>
      <c r="N87">
        <v>3</v>
      </c>
      <c r="O87" s="1">
        <v>3</v>
      </c>
      <c r="P87" s="11">
        <f t="shared" si="5"/>
        <v>0.27272727272727271</v>
      </c>
      <c r="Q87" s="11">
        <f t="shared" si="6"/>
        <v>9.0909090909090905E-3</v>
      </c>
      <c r="R87" s="19">
        <f t="shared" si="7"/>
        <v>1</v>
      </c>
      <c r="S87" s="6">
        <f t="shared" si="8"/>
        <v>1</v>
      </c>
      <c r="T87" s="5">
        <f t="shared" si="9"/>
        <v>1</v>
      </c>
    </row>
    <row r="88" spans="2:20" x14ac:dyDescent="0.25">
      <c r="B88" t="s">
        <v>512</v>
      </c>
      <c r="D88">
        <v>1</v>
      </c>
      <c r="G88">
        <v>2</v>
      </c>
      <c r="M88">
        <v>1</v>
      </c>
      <c r="N88">
        <v>4</v>
      </c>
      <c r="O88" s="1">
        <v>4</v>
      </c>
      <c r="P88" s="11">
        <f t="shared" si="5"/>
        <v>0.36363636363636365</v>
      </c>
      <c r="Q88" s="11">
        <f t="shared" si="6"/>
        <v>1.2121212121212121E-2</v>
      </c>
      <c r="R88" s="19">
        <f t="shared" si="7"/>
        <v>1</v>
      </c>
      <c r="S88" s="6">
        <f t="shared" si="8"/>
        <v>1</v>
      </c>
      <c r="T88" s="5">
        <f t="shared" si="9"/>
        <v>1</v>
      </c>
    </row>
    <row r="89" spans="2:20" x14ac:dyDescent="0.25">
      <c r="B89" t="s">
        <v>1038</v>
      </c>
      <c r="L89">
        <v>1</v>
      </c>
      <c r="N89">
        <v>1</v>
      </c>
      <c r="O89" s="1">
        <v>1</v>
      </c>
      <c r="P89" s="11">
        <f t="shared" si="5"/>
        <v>9.0909090909090912E-2</v>
      </c>
      <c r="Q89" s="11">
        <f t="shared" si="6"/>
        <v>3.0303030303030303E-3</v>
      </c>
      <c r="R89" s="19">
        <f t="shared" si="7"/>
        <v>1</v>
      </c>
      <c r="S89" s="6">
        <f t="shared" si="8"/>
        <v>1</v>
      </c>
      <c r="T89" s="5">
        <f t="shared" si="9"/>
        <v>1</v>
      </c>
    </row>
    <row r="90" spans="2:20" x14ac:dyDescent="0.25">
      <c r="B90" t="s">
        <v>513</v>
      </c>
      <c r="D90">
        <v>1</v>
      </c>
      <c r="N90">
        <v>1</v>
      </c>
      <c r="O90" s="1">
        <v>1</v>
      </c>
      <c r="P90" s="11">
        <f t="shared" si="5"/>
        <v>9.0909090909090912E-2</v>
      </c>
      <c r="Q90" s="11">
        <f t="shared" si="6"/>
        <v>3.0303030303030303E-3</v>
      </c>
      <c r="R90" s="19">
        <f t="shared" si="7"/>
        <v>1</v>
      </c>
      <c r="S90" s="6">
        <f t="shared" si="8"/>
        <v>1</v>
      </c>
      <c r="T90" s="5">
        <f t="shared" si="9"/>
        <v>1</v>
      </c>
    </row>
    <row r="91" spans="2:20" x14ac:dyDescent="0.25">
      <c r="B91" t="s">
        <v>653</v>
      </c>
      <c r="E91">
        <v>1</v>
      </c>
      <c r="N91">
        <v>1</v>
      </c>
      <c r="O91" s="1">
        <v>1</v>
      </c>
      <c r="P91" s="11">
        <f t="shared" si="5"/>
        <v>9.0909090909090912E-2</v>
      </c>
      <c r="Q91" s="11">
        <f t="shared" si="6"/>
        <v>3.0303030303030303E-3</v>
      </c>
      <c r="R91" s="19">
        <f t="shared" si="7"/>
        <v>1</v>
      </c>
      <c r="S91" s="6">
        <f t="shared" si="8"/>
        <v>1</v>
      </c>
      <c r="T91" s="5">
        <f t="shared" si="9"/>
        <v>1</v>
      </c>
    </row>
    <row r="92" spans="2:20" x14ac:dyDescent="0.25">
      <c r="B92" t="s">
        <v>42</v>
      </c>
      <c r="C92">
        <v>3</v>
      </c>
      <c r="G92">
        <v>1</v>
      </c>
      <c r="H92">
        <v>2</v>
      </c>
      <c r="I92">
        <v>1</v>
      </c>
      <c r="K92">
        <v>1</v>
      </c>
      <c r="L92">
        <v>0</v>
      </c>
      <c r="N92">
        <v>8</v>
      </c>
      <c r="O92" s="1">
        <v>8</v>
      </c>
      <c r="P92" s="11">
        <f t="shared" si="5"/>
        <v>0.72727272727272729</v>
      </c>
      <c r="Q92" s="11">
        <f t="shared" si="6"/>
        <v>2.4242424242424242E-2</v>
      </c>
      <c r="R92" s="19">
        <f t="shared" si="7"/>
        <v>1</v>
      </c>
      <c r="S92" s="6">
        <f t="shared" si="8"/>
        <v>1</v>
      </c>
      <c r="T92" s="5">
        <f t="shared" si="9"/>
        <v>1</v>
      </c>
    </row>
    <row r="93" spans="2:20" x14ac:dyDescent="0.25">
      <c r="B93" t="s">
        <v>913</v>
      </c>
      <c r="I93">
        <v>1</v>
      </c>
      <c r="J93">
        <v>2</v>
      </c>
      <c r="N93">
        <v>3</v>
      </c>
      <c r="O93" s="1">
        <v>3</v>
      </c>
      <c r="P93" s="11">
        <f t="shared" si="5"/>
        <v>0.27272727272727271</v>
      </c>
      <c r="Q93" s="11">
        <f t="shared" si="6"/>
        <v>9.0909090909090905E-3</v>
      </c>
      <c r="R93" s="19">
        <f t="shared" si="7"/>
        <v>1</v>
      </c>
      <c r="S93" s="6">
        <f t="shared" si="8"/>
        <v>1</v>
      </c>
      <c r="T93" s="5">
        <f t="shared" si="9"/>
        <v>1</v>
      </c>
    </row>
    <row r="94" spans="2:20" x14ac:dyDescent="0.25">
      <c r="B94" t="s">
        <v>43</v>
      </c>
      <c r="C94">
        <v>4</v>
      </c>
      <c r="D94">
        <v>1</v>
      </c>
      <c r="E94">
        <v>4</v>
      </c>
      <c r="F94">
        <v>5</v>
      </c>
      <c r="G94">
        <v>4</v>
      </c>
      <c r="H94">
        <v>4</v>
      </c>
      <c r="I94">
        <v>4</v>
      </c>
      <c r="J94">
        <v>1</v>
      </c>
      <c r="K94">
        <v>1</v>
      </c>
      <c r="L94">
        <v>21</v>
      </c>
      <c r="M94">
        <v>2</v>
      </c>
      <c r="N94">
        <v>51</v>
      </c>
      <c r="O94" s="1">
        <v>51</v>
      </c>
      <c r="P94" s="11">
        <f t="shared" si="5"/>
        <v>4.6363636363636367</v>
      </c>
      <c r="Q94" s="11">
        <f t="shared" si="6"/>
        <v>0.15454545454545457</v>
      </c>
      <c r="R94" s="19">
        <f t="shared" si="7"/>
        <v>3</v>
      </c>
      <c r="S94" s="6">
        <f t="shared" si="8"/>
        <v>3</v>
      </c>
      <c r="T94" s="5">
        <f t="shared" si="9"/>
        <v>3</v>
      </c>
    </row>
    <row r="95" spans="2:20" x14ac:dyDescent="0.25">
      <c r="B95" t="s">
        <v>44</v>
      </c>
      <c r="C95">
        <v>1</v>
      </c>
      <c r="F95">
        <v>1</v>
      </c>
      <c r="L95">
        <v>1</v>
      </c>
      <c r="N95">
        <v>3</v>
      </c>
      <c r="O95" s="1">
        <v>3</v>
      </c>
      <c r="P95" s="11">
        <f t="shared" si="5"/>
        <v>0.27272727272727271</v>
      </c>
      <c r="Q95" s="11">
        <f t="shared" si="6"/>
        <v>9.0909090909090905E-3</v>
      </c>
      <c r="R95" s="19">
        <f t="shared" si="7"/>
        <v>1</v>
      </c>
      <c r="S95" s="6">
        <f t="shared" si="8"/>
        <v>1</v>
      </c>
      <c r="T95" s="5">
        <f t="shared" si="9"/>
        <v>1</v>
      </c>
    </row>
    <row r="96" spans="2:20" x14ac:dyDescent="0.25">
      <c r="B96" t="s">
        <v>45</v>
      </c>
      <c r="C96">
        <v>1</v>
      </c>
      <c r="H96">
        <v>1</v>
      </c>
      <c r="I96">
        <v>1</v>
      </c>
      <c r="N96">
        <v>3</v>
      </c>
      <c r="O96" s="1">
        <v>3</v>
      </c>
      <c r="P96" s="11">
        <f t="shared" si="5"/>
        <v>0.27272727272727271</v>
      </c>
      <c r="Q96" s="11">
        <f t="shared" si="6"/>
        <v>9.0909090909090905E-3</v>
      </c>
      <c r="R96" s="19">
        <f t="shared" si="7"/>
        <v>1</v>
      </c>
      <c r="S96" s="6">
        <f t="shared" si="8"/>
        <v>1</v>
      </c>
      <c r="T96" s="5">
        <f t="shared" si="9"/>
        <v>1</v>
      </c>
    </row>
    <row r="97" spans="2:20" x14ac:dyDescent="0.25">
      <c r="B97" t="s">
        <v>814</v>
      </c>
      <c r="G97">
        <v>1</v>
      </c>
      <c r="I97">
        <v>1</v>
      </c>
      <c r="L97">
        <v>2</v>
      </c>
      <c r="N97">
        <v>4</v>
      </c>
      <c r="O97" s="1">
        <v>4</v>
      </c>
      <c r="P97" s="11">
        <f t="shared" si="5"/>
        <v>0.36363636363636365</v>
      </c>
      <c r="Q97" s="11">
        <f t="shared" si="6"/>
        <v>1.2121212121212121E-2</v>
      </c>
      <c r="R97" s="19">
        <f t="shared" si="7"/>
        <v>1</v>
      </c>
      <c r="S97" s="6">
        <f t="shared" si="8"/>
        <v>1</v>
      </c>
      <c r="T97" s="5">
        <f t="shared" si="9"/>
        <v>1</v>
      </c>
    </row>
    <row r="98" spans="2:20" x14ac:dyDescent="0.25">
      <c r="B98" t="s">
        <v>46</v>
      </c>
      <c r="C98">
        <v>1</v>
      </c>
      <c r="D98">
        <v>2</v>
      </c>
      <c r="E98">
        <v>1</v>
      </c>
      <c r="F98">
        <v>4</v>
      </c>
      <c r="G98">
        <v>4</v>
      </c>
      <c r="J98">
        <v>1</v>
      </c>
      <c r="L98">
        <v>2</v>
      </c>
      <c r="N98">
        <v>15</v>
      </c>
      <c r="O98" s="1">
        <v>15</v>
      </c>
      <c r="P98" s="11">
        <f t="shared" si="5"/>
        <v>1.3636363636363635</v>
      </c>
      <c r="Q98" s="11">
        <f t="shared" si="6"/>
        <v>4.5454545454545449E-2</v>
      </c>
      <c r="R98" s="19">
        <f t="shared" si="7"/>
        <v>1</v>
      </c>
      <c r="S98" s="6">
        <f t="shared" si="8"/>
        <v>1</v>
      </c>
      <c r="T98" s="5">
        <f t="shared" si="9"/>
        <v>1</v>
      </c>
    </row>
    <row r="99" spans="2:20" x14ac:dyDescent="0.25">
      <c r="B99" t="s">
        <v>957</v>
      </c>
      <c r="J99">
        <v>1</v>
      </c>
      <c r="N99">
        <v>1</v>
      </c>
      <c r="O99" s="1">
        <v>1</v>
      </c>
      <c r="P99" s="11">
        <f t="shared" si="5"/>
        <v>9.0909090909090912E-2</v>
      </c>
      <c r="Q99" s="11">
        <f t="shared" si="6"/>
        <v>3.0303030303030303E-3</v>
      </c>
      <c r="R99" s="19">
        <f t="shared" si="7"/>
        <v>1</v>
      </c>
      <c r="S99" s="6">
        <f t="shared" si="8"/>
        <v>1</v>
      </c>
      <c r="T99" s="5">
        <f t="shared" si="9"/>
        <v>1</v>
      </c>
    </row>
    <row r="100" spans="2:20" x14ac:dyDescent="0.25">
      <c r="B100" t="s">
        <v>914</v>
      </c>
      <c r="I100">
        <v>1</v>
      </c>
      <c r="N100">
        <v>1</v>
      </c>
      <c r="O100" s="1">
        <v>1</v>
      </c>
      <c r="P100" s="11">
        <f t="shared" si="5"/>
        <v>9.0909090909090912E-2</v>
      </c>
      <c r="Q100" s="11">
        <f t="shared" si="6"/>
        <v>3.0303030303030303E-3</v>
      </c>
      <c r="R100" s="19">
        <f t="shared" si="7"/>
        <v>1</v>
      </c>
      <c r="S100" s="6">
        <f t="shared" si="8"/>
        <v>1</v>
      </c>
      <c r="T100" s="5">
        <f t="shared" si="9"/>
        <v>1</v>
      </c>
    </row>
    <row r="101" spans="2:20" x14ac:dyDescent="0.25">
      <c r="B101" t="s">
        <v>915</v>
      </c>
      <c r="I101">
        <v>0</v>
      </c>
      <c r="J101">
        <v>1</v>
      </c>
      <c r="K101">
        <v>1</v>
      </c>
      <c r="M101">
        <v>0</v>
      </c>
      <c r="N101">
        <v>2</v>
      </c>
      <c r="O101" s="1">
        <v>2</v>
      </c>
      <c r="P101" s="11">
        <f t="shared" si="5"/>
        <v>0.18181818181818182</v>
      </c>
      <c r="Q101" s="11">
        <f t="shared" si="6"/>
        <v>6.0606060606060606E-3</v>
      </c>
      <c r="R101" s="19">
        <f t="shared" si="7"/>
        <v>1</v>
      </c>
      <c r="S101" s="6">
        <f t="shared" si="8"/>
        <v>1</v>
      </c>
      <c r="T101" s="5">
        <f t="shared" si="9"/>
        <v>1</v>
      </c>
    </row>
    <row r="102" spans="2:20" x14ac:dyDescent="0.25">
      <c r="B102" t="s">
        <v>746</v>
      </c>
      <c r="F102">
        <v>1</v>
      </c>
      <c r="K102">
        <v>1</v>
      </c>
      <c r="N102">
        <v>2</v>
      </c>
      <c r="O102" s="1">
        <v>2</v>
      </c>
      <c r="P102" s="11">
        <f t="shared" si="5"/>
        <v>0.18181818181818182</v>
      </c>
      <c r="Q102" s="11">
        <f t="shared" si="6"/>
        <v>6.0606060606060606E-3</v>
      </c>
      <c r="R102" s="19">
        <f t="shared" si="7"/>
        <v>1</v>
      </c>
      <c r="S102" s="6">
        <f t="shared" si="8"/>
        <v>1</v>
      </c>
      <c r="T102" s="5">
        <f t="shared" si="9"/>
        <v>1</v>
      </c>
    </row>
    <row r="103" spans="2:20" x14ac:dyDescent="0.25">
      <c r="B103" t="s">
        <v>1082</v>
      </c>
      <c r="M103">
        <v>1</v>
      </c>
      <c r="N103">
        <v>1</v>
      </c>
      <c r="O103" s="1">
        <v>1</v>
      </c>
      <c r="P103" s="11">
        <f t="shared" si="5"/>
        <v>9.0909090909090912E-2</v>
      </c>
      <c r="Q103" s="11">
        <f t="shared" si="6"/>
        <v>3.0303030303030303E-3</v>
      </c>
      <c r="R103" s="19">
        <f t="shared" si="7"/>
        <v>1</v>
      </c>
      <c r="S103" s="6">
        <f t="shared" si="8"/>
        <v>1</v>
      </c>
      <c r="T103" s="5">
        <f t="shared" si="9"/>
        <v>1</v>
      </c>
    </row>
    <row r="104" spans="2:20" x14ac:dyDescent="0.25">
      <c r="B104" t="s">
        <v>1039</v>
      </c>
      <c r="L104">
        <v>1</v>
      </c>
      <c r="N104">
        <v>1</v>
      </c>
      <c r="O104" s="1">
        <v>1</v>
      </c>
      <c r="P104" s="11">
        <f t="shared" si="5"/>
        <v>9.0909090909090912E-2</v>
      </c>
      <c r="Q104" s="11">
        <f t="shared" si="6"/>
        <v>3.0303030303030303E-3</v>
      </c>
      <c r="R104" s="19">
        <f t="shared" si="7"/>
        <v>1</v>
      </c>
      <c r="S104" s="6">
        <f t="shared" si="8"/>
        <v>1</v>
      </c>
      <c r="T104" s="5">
        <f t="shared" si="9"/>
        <v>1</v>
      </c>
    </row>
    <row r="105" spans="2:20" x14ac:dyDescent="0.25">
      <c r="B105" t="s">
        <v>992</v>
      </c>
      <c r="K105">
        <v>1</v>
      </c>
      <c r="L105">
        <v>1</v>
      </c>
      <c r="M105">
        <v>0</v>
      </c>
      <c r="N105">
        <v>2</v>
      </c>
      <c r="O105" s="1">
        <v>2</v>
      </c>
      <c r="P105" s="11">
        <f t="shared" si="5"/>
        <v>0.18181818181818182</v>
      </c>
      <c r="Q105" s="11">
        <f t="shared" si="6"/>
        <v>6.0606060606060606E-3</v>
      </c>
      <c r="R105" s="19">
        <f t="shared" si="7"/>
        <v>1</v>
      </c>
      <c r="S105" s="6">
        <f t="shared" si="8"/>
        <v>1</v>
      </c>
      <c r="T105" s="5">
        <f t="shared" si="9"/>
        <v>1</v>
      </c>
    </row>
    <row r="106" spans="2:20" x14ac:dyDescent="0.25">
      <c r="B106" t="s">
        <v>47</v>
      </c>
      <c r="C106">
        <v>54</v>
      </c>
      <c r="D106">
        <v>9</v>
      </c>
      <c r="E106">
        <v>2</v>
      </c>
      <c r="F106">
        <v>8</v>
      </c>
      <c r="G106">
        <v>6</v>
      </c>
      <c r="H106">
        <v>18</v>
      </c>
      <c r="I106">
        <v>6</v>
      </c>
      <c r="L106">
        <v>9</v>
      </c>
      <c r="M106">
        <v>2</v>
      </c>
      <c r="N106">
        <v>114</v>
      </c>
      <c r="O106" s="1">
        <v>114</v>
      </c>
      <c r="P106" s="11">
        <f t="shared" si="5"/>
        <v>10.363636363636363</v>
      </c>
      <c r="Q106" s="11">
        <f t="shared" si="6"/>
        <v>0.34545454545454546</v>
      </c>
      <c r="R106" s="19">
        <f t="shared" si="7"/>
        <v>5</v>
      </c>
      <c r="S106" s="6">
        <f t="shared" si="8"/>
        <v>5</v>
      </c>
      <c r="T106" s="5">
        <f t="shared" si="9"/>
        <v>3</v>
      </c>
    </row>
    <row r="107" spans="2:20" x14ac:dyDescent="0.25">
      <c r="B107" t="s">
        <v>48</v>
      </c>
      <c r="C107">
        <v>1</v>
      </c>
      <c r="D107">
        <v>2</v>
      </c>
      <c r="E107">
        <v>1</v>
      </c>
      <c r="F107">
        <v>1</v>
      </c>
      <c r="G107">
        <v>2</v>
      </c>
      <c r="H107">
        <v>2</v>
      </c>
      <c r="I107">
        <v>3</v>
      </c>
      <c r="K107">
        <v>1</v>
      </c>
      <c r="L107">
        <v>1</v>
      </c>
      <c r="M107">
        <v>2</v>
      </c>
      <c r="N107">
        <v>16</v>
      </c>
      <c r="O107" s="1">
        <v>16</v>
      </c>
      <c r="P107" s="11">
        <f t="shared" si="5"/>
        <v>1.4545454545454546</v>
      </c>
      <c r="Q107" s="11">
        <f t="shared" si="6"/>
        <v>4.8484848484848485E-2</v>
      </c>
      <c r="R107" s="19">
        <f t="shared" si="7"/>
        <v>1</v>
      </c>
      <c r="S107" s="6">
        <f t="shared" si="8"/>
        <v>1</v>
      </c>
      <c r="T107" s="5">
        <f t="shared" si="9"/>
        <v>1</v>
      </c>
    </row>
    <row r="108" spans="2:20" x14ac:dyDescent="0.25">
      <c r="B108" t="s">
        <v>860</v>
      </c>
      <c r="H108">
        <v>2</v>
      </c>
      <c r="M108">
        <v>1</v>
      </c>
      <c r="N108">
        <v>3</v>
      </c>
      <c r="O108" s="1">
        <v>3</v>
      </c>
      <c r="P108" s="11">
        <f t="shared" si="5"/>
        <v>0.27272727272727271</v>
      </c>
      <c r="Q108" s="11">
        <f t="shared" si="6"/>
        <v>9.0909090909090905E-3</v>
      </c>
      <c r="R108" s="19">
        <f t="shared" si="7"/>
        <v>1</v>
      </c>
      <c r="S108" s="6">
        <f t="shared" si="8"/>
        <v>1</v>
      </c>
      <c r="T108" s="5">
        <f t="shared" si="9"/>
        <v>1</v>
      </c>
    </row>
    <row r="109" spans="2:20" x14ac:dyDescent="0.25">
      <c r="B109" t="s">
        <v>49</v>
      </c>
      <c r="C109">
        <v>14</v>
      </c>
      <c r="D109">
        <v>15</v>
      </c>
      <c r="E109">
        <v>11</v>
      </c>
      <c r="F109">
        <v>5</v>
      </c>
      <c r="G109">
        <v>6</v>
      </c>
      <c r="I109">
        <v>11</v>
      </c>
      <c r="J109">
        <v>9</v>
      </c>
      <c r="K109">
        <v>3</v>
      </c>
      <c r="L109">
        <v>13</v>
      </c>
      <c r="M109">
        <v>5</v>
      </c>
      <c r="N109">
        <v>92</v>
      </c>
      <c r="O109" s="1">
        <v>92</v>
      </c>
      <c r="P109" s="11">
        <f t="shared" si="5"/>
        <v>8.3636363636363633</v>
      </c>
      <c r="Q109" s="11">
        <f t="shared" si="6"/>
        <v>0.27878787878787875</v>
      </c>
      <c r="R109" s="19">
        <f t="shared" si="7"/>
        <v>5</v>
      </c>
      <c r="S109" s="6">
        <f t="shared" si="8"/>
        <v>3</v>
      </c>
      <c r="T109" s="5">
        <f t="shared" si="9"/>
        <v>3</v>
      </c>
    </row>
    <row r="110" spans="2:20" x14ac:dyDescent="0.25">
      <c r="B110" t="s">
        <v>514</v>
      </c>
      <c r="D110">
        <v>1</v>
      </c>
      <c r="F110">
        <v>1</v>
      </c>
      <c r="G110">
        <v>1</v>
      </c>
      <c r="H110">
        <v>1</v>
      </c>
      <c r="K110">
        <v>1</v>
      </c>
      <c r="L110">
        <v>2</v>
      </c>
      <c r="N110">
        <v>7</v>
      </c>
      <c r="O110" s="1">
        <v>7</v>
      </c>
      <c r="P110" s="11">
        <f t="shared" si="5"/>
        <v>0.63636363636363635</v>
      </c>
      <c r="Q110" s="11">
        <f t="shared" si="6"/>
        <v>2.1212121212121213E-2</v>
      </c>
      <c r="R110" s="19">
        <f t="shared" si="7"/>
        <v>1</v>
      </c>
      <c r="S110" s="6">
        <f t="shared" si="8"/>
        <v>1</v>
      </c>
      <c r="T110" s="5">
        <f t="shared" si="9"/>
        <v>1</v>
      </c>
    </row>
    <row r="111" spans="2:20" x14ac:dyDescent="0.25">
      <c r="B111" t="s">
        <v>1040</v>
      </c>
      <c r="L111">
        <v>1</v>
      </c>
      <c r="N111">
        <v>1</v>
      </c>
      <c r="O111" s="1">
        <v>1</v>
      </c>
      <c r="P111" s="11">
        <f t="shared" si="5"/>
        <v>9.0909090909090912E-2</v>
      </c>
      <c r="Q111" s="11">
        <f t="shared" si="6"/>
        <v>3.0303030303030303E-3</v>
      </c>
      <c r="R111" s="19">
        <f t="shared" si="7"/>
        <v>1</v>
      </c>
      <c r="S111" s="6">
        <f t="shared" si="8"/>
        <v>1</v>
      </c>
      <c r="T111" s="5">
        <f t="shared" si="9"/>
        <v>1</v>
      </c>
    </row>
    <row r="112" spans="2:20" x14ac:dyDescent="0.25">
      <c r="B112" t="s">
        <v>993</v>
      </c>
      <c r="K112">
        <v>1</v>
      </c>
      <c r="N112">
        <v>1</v>
      </c>
      <c r="O112" s="1">
        <v>1</v>
      </c>
      <c r="P112" s="11">
        <f t="shared" si="5"/>
        <v>9.0909090909090912E-2</v>
      </c>
      <c r="Q112" s="11">
        <f t="shared" si="6"/>
        <v>3.0303030303030303E-3</v>
      </c>
      <c r="R112" s="19">
        <f t="shared" si="7"/>
        <v>1</v>
      </c>
      <c r="S112" s="6">
        <f t="shared" si="8"/>
        <v>1</v>
      </c>
      <c r="T112" s="5">
        <f t="shared" si="9"/>
        <v>1</v>
      </c>
    </row>
    <row r="113" spans="2:20" x14ac:dyDescent="0.25">
      <c r="B113" t="s">
        <v>50</v>
      </c>
      <c r="C113">
        <v>1</v>
      </c>
      <c r="I113">
        <v>1</v>
      </c>
      <c r="J113">
        <v>1</v>
      </c>
      <c r="K113">
        <v>1</v>
      </c>
      <c r="N113">
        <v>4</v>
      </c>
      <c r="O113" s="1">
        <v>4</v>
      </c>
      <c r="P113" s="11">
        <f t="shared" si="5"/>
        <v>0.36363636363636365</v>
      </c>
      <c r="Q113" s="11">
        <f t="shared" si="6"/>
        <v>1.2121212121212121E-2</v>
      </c>
      <c r="R113" s="19">
        <f t="shared" si="7"/>
        <v>1</v>
      </c>
      <c r="S113" s="6">
        <f t="shared" si="8"/>
        <v>1</v>
      </c>
      <c r="T113" s="5">
        <f t="shared" si="9"/>
        <v>1</v>
      </c>
    </row>
    <row r="114" spans="2:20" x14ac:dyDescent="0.25">
      <c r="B114" t="s">
        <v>51</v>
      </c>
      <c r="C114">
        <v>4</v>
      </c>
      <c r="E114">
        <v>9</v>
      </c>
      <c r="F114">
        <v>4</v>
      </c>
      <c r="G114">
        <v>10</v>
      </c>
      <c r="H114">
        <v>10</v>
      </c>
      <c r="I114">
        <v>6</v>
      </c>
      <c r="J114">
        <v>14</v>
      </c>
      <c r="K114">
        <v>6</v>
      </c>
      <c r="L114">
        <v>2</v>
      </c>
      <c r="M114">
        <v>2</v>
      </c>
      <c r="N114">
        <v>67</v>
      </c>
      <c r="O114" s="1">
        <v>67</v>
      </c>
      <c r="P114" s="11">
        <f t="shared" si="5"/>
        <v>6.0909090909090908</v>
      </c>
      <c r="Q114" s="11">
        <f t="shared" si="6"/>
        <v>0.20303030303030303</v>
      </c>
      <c r="R114" s="19">
        <f t="shared" si="7"/>
        <v>3</v>
      </c>
      <c r="S114" s="6">
        <f t="shared" si="8"/>
        <v>3</v>
      </c>
      <c r="T114" s="5">
        <f t="shared" si="9"/>
        <v>3</v>
      </c>
    </row>
    <row r="115" spans="2:20" x14ac:dyDescent="0.25">
      <c r="B115" t="s">
        <v>52</v>
      </c>
      <c r="C115">
        <v>8</v>
      </c>
      <c r="D115">
        <v>7</v>
      </c>
      <c r="E115">
        <v>16</v>
      </c>
      <c r="F115">
        <v>10</v>
      </c>
      <c r="G115">
        <v>1</v>
      </c>
      <c r="H115">
        <v>9</v>
      </c>
      <c r="K115">
        <v>13</v>
      </c>
      <c r="L115">
        <v>1</v>
      </c>
      <c r="M115">
        <v>9</v>
      </c>
      <c r="N115">
        <v>74</v>
      </c>
      <c r="O115" s="1">
        <v>74</v>
      </c>
      <c r="P115" s="11">
        <f t="shared" si="5"/>
        <v>6.7272727272727275</v>
      </c>
      <c r="Q115" s="11">
        <f t="shared" si="6"/>
        <v>0.22424242424242424</v>
      </c>
      <c r="R115" s="19">
        <f t="shared" si="7"/>
        <v>5</v>
      </c>
      <c r="S115" s="6">
        <f t="shared" si="8"/>
        <v>3</v>
      </c>
      <c r="T115" s="5">
        <f t="shared" si="9"/>
        <v>3</v>
      </c>
    </row>
    <row r="116" spans="2:20" x14ac:dyDescent="0.25">
      <c r="B116" t="s">
        <v>53</v>
      </c>
      <c r="C116">
        <v>2</v>
      </c>
      <c r="I116">
        <v>1</v>
      </c>
      <c r="J116">
        <v>3</v>
      </c>
      <c r="N116">
        <v>6</v>
      </c>
      <c r="O116" s="1">
        <v>6</v>
      </c>
      <c r="P116" s="11">
        <f t="shared" si="5"/>
        <v>0.54545454545454541</v>
      </c>
      <c r="Q116" s="11">
        <f t="shared" si="6"/>
        <v>1.8181818181818181E-2</v>
      </c>
      <c r="R116" s="19">
        <f t="shared" si="7"/>
        <v>1</v>
      </c>
      <c r="S116" s="6">
        <f t="shared" si="8"/>
        <v>1</v>
      </c>
      <c r="T116" s="5">
        <f t="shared" si="9"/>
        <v>1</v>
      </c>
    </row>
    <row r="117" spans="2:20" x14ac:dyDescent="0.25">
      <c r="B117" t="s">
        <v>654</v>
      </c>
      <c r="E117">
        <v>1</v>
      </c>
      <c r="N117">
        <v>1</v>
      </c>
      <c r="O117" s="1">
        <v>1</v>
      </c>
      <c r="P117" s="11">
        <f t="shared" si="5"/>
        <v>9.0909090909090912E-2</v>
      </c>
      <c r="Q117" s="11">
        <f t="shared" si="6"/>
        <v>3.0303030303030303E-3</v>
      </c>
      <c r="R117" s="19">
        <f t="shared" si="7"/>
        <v>1</v>
      </c>
      <c r="S117" s="6">
        <f t="shared" si="8"/>
        <v>1</v>
      </c>
      <c r="T117" s="5">
        <f t="shared" si="9"/>
        <v>1</v>
      </c>
    </row>
    <row r="118" spans="2:20" x14ac:dyDescent="0.25">
      <c r="B118" t="s">
        <v>958</v>
      </c>
      <c r="J118">
        <v>1</v>
      </c>
      <c r="K118">
        <v>1</v>
      </c>
      <c r="N118">
        <v>2</v>
      </c>
      <c r="O118" s="1">
        <v>2</v>
      </c>
      <c r="P118" s="11">
        <f t="shared" si="5"/>
        <v>0.18181818181818182</v>
      </c>
      <c r="Q118" s="11">
        <f t="shared" si="6"/>
        <v>6.0606060606060606E-3</v>
      </c>
      <c r="R118" s="19">
        <f t="shared" si="7"/>
        <v>1</v>
      </c>
      <c r="S118" s="6">
        <f t="shared" si="8"/>
        <v>1</v>
      </c>
      <c r="T118" s="5">
        <f t="shared" si="9"/>
        <v>1</v>
      </c>
    </row>
    <row r="119" spans="2:20" x14ac:dyDescent="0.25">
      <c r="B119" t="s">
        <v>54</v>
      </c>
      <c r="C119">
        <v>2</v>
      </c>
      <c r="D119">
        <v>2</v>
      </c>
      <c r="F119">
        <v>1</v>
      </c>
      <c r="G119">
        <v>2</v>
      </c>
      <c r="H119">
        <v>3</v>
      </c>
      <c r="J119">
        <v>2</v>
      </c>
      <c r="K119">
        <v>4</v>
      </c>
      <c r="L119">
        <v>2</v>
      </c>
      <c r="N119">
        <v>18</v>
      </c>
      <c r="O119" s="1">
        <v>18</v>
      </c>
      <c r="P119" s="11">
        <f t="shared" si="5"/>
        <v>1.6363636363636365</v>
      </c>
      <c r="Q119" s="11">
        <f t="shared" si="6"/>
        <v>5.454545454545455E-2</v>
      </c>
      <c r="R119" s="19">
        <f t="shared" si="7"/>
        <v>1</v>
      </c>
      <c r="S119" s="6">
        <f t="shared" si="8"/>
        <v>1</v>
      </c>
      <c r="T119" s="5">
        <f t="shared" si="9"/>
        <v>1</v>
      </c>
    </row>
    <row r="120" spans="2:20" x14ac:dyDescent="0.25">
      <c r="B120" t="s">
        <v>55</v>
      </c>
      <c r="C120">
        <v>1</v>
      </c>
      <c r="I120">
        <v>1</v>
      </c>
      <c r="J120">
        <v>1</v>
      </c>
      <c r="L120">
        <v>2</v>
      </c>
      <c r="N120">
        <v>5</v>
      </c>
      <c r="O120" s="1">
        <v>5</v>
      </c>
      <c r="P120" s="11">
        <f t="shared" si="5"/>
        <v>0.45454545454545453</v>
      </c>
      <c r="Q120" s="11">
        <f t="shared" si="6"/>
        <v>1.515151515151515E-2</v>
      </c>
      <c r="R120" s="19">
        <f t="shared" si="7"/>
        <v>1</v>
      </c>
      <c r="S120" s="6">
        <f t="shared" si="8"/>
        <v>1</v>
      </c>
      <c r="T120" s="5">
        <f t="shared" si="9"/>
        <v>1</v>
      </c>
    </row>
    <row r="121" spans="2:20" x14ac:dyDescent="0.25">
      <c r="B121" t="s">
        <v>56</v>
      </c>
      <c r="C121">
        <v>1</v>
      </c>
      <c r="G121">
        <v>1</v>
      </c>
      <c r="H121">
        <v>1</v>
      </c>
      <c r="J121">
        <v>1</v>
      </c>
      <c r="K121">
        <v>2</v>
      </c>
      <c r="N121">
        <v>6</v>
      </c>
      <c r="O121" s="1">
        <v>6</v>
      </c>
      <c r="P121" s="11">
        <f t="shared" si="5"/>
        <v>0.54545454545454541</v>
      </c>
      <c r="Q121" s="11">
        <f t="shared" si="6"/>
        <v>1.8181818181818181E-2</v>
      </c>
      <c r="R121" s="19">
        <f t="shared" si="7"/>
        <v>1</v>
      </c>
      <c r="S121" s="6">
        <f t="shared" si="8"/>
        <v>1</v>
      </c>
      <c r="T121" s="5">
        <f t="shared" si="9"/>
        <v>1</v>
      </c>
    </row>
    <row r="122" spans="2:20" x14ac:dyDescent="0.25">
      <c r="B122" t="s">
        <v>861</v>
      </c>
      <c r="H122">
        <v>1</v>
      </c>
      <c r="I122">
        <v>1</v>
      </c>
      <c r="J122">
        <v>1</v>
      </c>
      <c r="N122">
        <v>3</v>
      </c>
      <c r="O122" s="1">
        <v>3</v>
      </c>
      <c r="P122" s="11">
        <f t="shared" si="5"/>
        <v>0.27272727272727271</v>
      </c>
      <c r="Q122" s="11">
        <f t="shared" si="6"/>
        <v>9.0909090909090905E-3</v>
      </c>
      <c r="R122" s="19">
        <f t="shared" si="7"/>
        <v>1</v>
      </c>
      <c r="S122" s="6">
        <f t="shared" si="8"/>
        <v>1</v>
      </c>
      <c r="T122" s="5">
        <f t="shared" si="9"/>
        <v>1</v>
      </c>
    </row>
    <row r="123" spans="2:20" x14ac:dyDescent="0.25">
      <c r="B123" t="s">
        <v>655</v>
      </c>
      <c r="E123">
        <v>1</v>
      </c>
      <c r="N123">
        <v>1</v>
      </c>
      <c r="O123" s="1">
        <v>1</v>
      </c>
      <c r="P123" s="11">
        <f t="shared" si="5"/>
        <v>9.0909090909090912E-2</v>
      </c>
      <c r="Q123" s="11">
        <f t="shared" si="6"/>
        <v>3.0303030303030303E-3</v>
      </c>
      <c r="R123" s="19">
        <f t="shared" si="7"/>
        <v>1</v>
      </c>
      <c r="S123" s="6">
        <f t="shared" si="8"/>
        <v>1</v>
      </c>
      <c r="T123" s="5">
        <f t="shared" si="9"/>
        <v>1</v>
      </c>
    </row>
    <row r="124" spans="2:20" x14ac:dyDescent="0.25">
      <c r="B124" t="s">
        <v>515</v>
      </c>
      <c r="D124">
        <v>1</v>
      </c>
      <c r="E124">
        <v>1</v>
      </c>
      <c r="H124">
        <v>1</v>
      </c>
      <c r="N124">
        <v>3</v>
      </c>
      <c r="O124" s="1">
        <v>3</v>
      </c>
      <c r="P124" s="11">
        <f t="shared" si="5"/>
        <v>0.27272727272727271</v>
      </c>
      <c r="Q124" s="11">
        <f t="shared" si="6"/>
        <v>9.0909090909090905E-3</v>
      </c>
      <c r="R124" s="19">
        <f t="shared" si="7"/>
        <v>1</v>
      </c>
      <c r="S124" s="6">
        <f t="shared" si="8"/>
        <v>1</v>
      </c>
      <c r="T124" s="5">
        <f t="shared" si="9"/>
        <v>1</v>
      </c>
    </row>
    <row r="125" spans="2:20" x14ac:dyDescent="0.25">
      <c r="B125" t="s">
        <v>916</v>
      </c>
      <c r="I125">
        <v>1</v>
      </c>
      <c r="K125">
        <v>4</v>
      </c>
      <c r="M125">
        <v>2</v>
      </c>
      <c r="N125">
        <v>7</v>
      </c>
      <c r="O125" s="1">
        <v>7</v>
      </c>
      <c r="P125" s="11">
        <f t="shared" si="5"/>
        <v>0.63636363636363635</v>
      </c>
      <c r="Q125" s="11">
        <f t="shared" si="6"/>
        <v>2.1212121212121213E-2</v>
      </c>
      <c r="R125" s="19">
        <f t="shared" si="7"/>
        <v>1</v>
      </c>
      <c r="S125" s="6">
        <f t="shared" si="8"/>
        <v>1</v>
      </c>
      <c r="T125" s="5">
        <f t="shared" si="9"/>
        <v>1</v>
      </c>
    </row>
    <row r="126" spans="2:20" x14ac:dyDescent="0.25">
      <c r="B126" t="s">
        <v>1041</v>
      </c>
      <c r="L126">
        <v>1</v>
      </c>
      <c r="M126">
        <v>1</v>
      </c>
      <c r="N126">
        <v>2</v>
      </c>
      <c r="O126" s="1">
        <v>2</v>
      </c>
      <c r="P126" s="11">
        <f t="shared" si="5"/>
        <v>0.18181818181818182</v>
      </c>
      <c r="Q126" s="11">
        <f t="shared" si="6"/>
        <v>6.0606060606060606E-3</v>
      </c>
      <c r="R126" s="19">
        <f t="shared" si="7"/>
        <v>1</v>
      </c>
      <c r="S126" s="6">
        <f t="shared" si="8"/>
        <v>1</v>
      </c>
      <c r="T126" s="5">
        <f t="shared" si="9"/>
        <v>1</v>
      </c>
    </row>
    <row r="127" spans="2:20" x14ac:dyDescent="0.25">
      <c r="B127" t="s">
        <v>917</v>
      </c>
      <c r="I127">
        <v>1</v>
      </c>
      <c r="K127">
        <v>1</v>
      </c>
      <c r="N127">
        <v>2</v>
      </c>
      <c r="O127" s="1">
        <v>2</v>
      </c>
      <c r="P127" s="11">
        <f t="shared" si="5"/>
        <v>0.18181818181818182</v>
      </c>
      <c r="Q127" s="11">
        <f t="shared" si="6"/>
        <v>6.0606060606060606E-3</v>
      </c>
      <c r="R127" s="19">
        <f t="shared" si="7"/>
        <v>1</v>
      </c>
      <c r="S127" s="6">
        <f t="shared" si="8"/>
        <v>1</v>
      </c>
      <c r="T127" s="5">
        <f t="shared" si="9"/>
        <v>1</v>
      </c>
    </row>
    <row r="128" spans="2:20" x14ac:dyDescent="0.25">
      <c r="B128" t="s">
        <v>57</v>
      </c>
      <c r="C128">
        <v>1</v>
      </c>
      <c r="D128">
        <v>4</v>
      </c>
      <c r="N128">
        <v>5</v>
      </c>
      <c r="O128" s="1">
        <v>5</v>
      </c>
      <c r="P128" s="11">
        <f t="shared" si="5"/>
        <v>0.45454545454545453</v>
      </c>
      <c r="Q128" s="11">
        <f t="shared" si="6"/>
        <v>1.515151515151515E-2</v>
      </c>
      <c r="R128" s="19">
        <f t="shared" si="7"/>
        <v>1</v>
      </c>
      <c r="S128" s="6">
        <f t="shared" si="8"/>
        <v>1</v>
      </c>
      <c r="T128" s="5">
        <f t="shared" si="9"/>
        <v>1</v>
      </c>
    </row>
    <row r="129" spans="2:20" x14ac:dyDescent="0.25">
      <c r="B129" t="s">
        <v>58</v>
      </c>
      <c r="C129">
        <v>1</v>
      </c>
      <c r="D129">
        <v>1</v>
      </c>
      <c r="E129">
        <v>3</v>
      </c>
      <c r="F129">
        <v>1</v>
      </c>
      <c r="H129">
        <v>2</v>
      </c>
      <c r="N129">
        <v>8</v>
      </c>
      <c r="O129" s="1">
        <v>8</v>
      </c>
      <c r="P129" s="11">
        <f t="shared" si="5"/>
        <v>0.72727272727272729</v>
      </c>
      <c r="Q129" s="11">
        <f t="shared" si="6"/>
        <v>2.4242424242424242E-2</v>
      </c>
      <c r="R129" s="19">
        <f t="shared" si="7"/>
        <v>1</v>
      </c>
      <c r="S129" s="6">
        <f t="shared" si="8"/>
        <v>1</v>
      </c>
      <c r="T129" s="5">
        <f t="shared" si="9"/>
        <v>1</v>
      </c>
    </row>
    <row r="130" spans="2:20" x14ac:dyDescent="0.25">
      <c r="B130" t="s">
        <v>59</v>
      </c>
      <c r="C130">
        <v>2</v>
      </c>
      <c r="G130">
        <v>1</v>
      </c>
      <c r="N130">
        <v>3</v>
      </c>
      <c r="O130" s="1">
        <v>3</v>
      </c>
      <c r="P130" s="11">
        <f t="shared" si="5"/>
        <v>0.27272727272727271</v>
      </c>
      <c r="Q130" s="11">
        <f t="shared" si="6"/>
        <v>9.0909090909090905E-3</v>
      </c>
      <c r="R130" s="19">
        <f t="shared" si="7"/>
        <v>1</v>
      </c>
      <c r="S130" s="6">
        <f t="shared" si="8"/>
        <v>1</v>
      </c>
      <c r="T130" s="5">
        <f t="shared" si="9"/>
        <v>1</v>
      </c>
    </row>
    <row r="131" spans="2:20" x14ac:dyDescent="0.25">
      <c r="B131" t="s">
        <v>60</v>
      </c>
      <c r="C131">
        <v>2</v>
      </c>
      <c r="E131">
        <v>1</v>
      </c>
      <c r="F131">
        <v>2</v>
      </c>
      <c r="H131">
        <v>1</v>
      </c>
      <c r="I131">
        <v>1</v>
      </c>
      <c r="J131">
        <v>1</v>
      </c>
      <c r="L131">
        <v>1</v>
      </c>
      <c r="M131">
        <v>1</v>
      </c>
      <c r="N131">
        <v>10</v>
      </c>
      <c r="O131" s="1">
        <v>10</v>
      </c>
      <c r="P131" s="11">
        <f t="shared" si="5"/>
        <v>0.90909090909090906</v>
      </c>
      <c r="Q131" s="11">
        <f t="shared" si="6"/>
        <v>3.03030303030303E-2</v>
      </c>
      <c r="R131" s="19">
        <f t="shared" si="7"/>
        <v>1</v>
      </c>
      <c r="S131" s="6">
        <f t="shared" si="8"/>
        <v>1</v>
      </c>
      <c r="T131" s="5">
        <f t="shared" si="9"/>
        <v>1</v>
      </c>
    </row>
    <row r="132" spans="2:20" x14ac:dyDescent="0.25">
      <c r="B132" t="s">
        <v>61</v>
      </c>
      <c r="C132">
        <v>1</v>
      </c>
      <c r="D132">
        <v>1</v>
      </c>
      <c r="E132">
        <v>1</v>
      </c>
      <c r="K132">
        <v>2</v>
      </c>
      <c r="L132">
        <v>3</v>
      </c>
      <c r="M132">
        <v>1</v>
      </c>
      <c r="N132">
        <v>9</v>
      </c>
      <c r="O132" s="1">
        <v>9</v>
      </c>
      <c r="P132" s="11">
        <f t="shared" si="5"/>
        <v>0.81818181818181823</v>
      </c>
      <c r="Q132" s="11">
        <f t="shared" si="6"/>
        <v>2.7272727272727275E-2</v>
      </c>
      <c r="R132" s="19">
        <f t="shared" si="7"/>
        <v>1</v>
      </c>
      <c r="S132" s="6">
        <f t="shared" si="8"/>
        <v>1</v>
      </c>
      <c r="T132" s="5">
        <f t="shared" si="9"/>
        <v>1</v>
      </c>
    </row>
    <row r="133" spans="2:20" x14ac:dyDescent="0.25">
      <c r="B133" t="s">
        <v>62</v>
      </c>
      <c r="C133">
        <v>3</v>
      </c>
      <c r="D133">
        <v>1</v>
      </c>
      <c r="H133">
        <v>1</v>
      </c>
      <c r="K133">
        <v>1</v>
      </c>
      <c r="L133">
        <v>2</v>
      </c>
      <c r="N133">
        <v>8</v>
      </c>
      <c r="O133" s="1">
        <v>8</v>
      </c>
      <c r="P133" s="11">
        <f t="shared" si="5"/>
        <v>0.72727272727272729</v>
      </c>
      <c r="Q133" s="11">
        <f t="shared" si="6"/>
        <v>2.4242424242424242E-2</v>
      </c>
      <c r="R133" s="19">
        <f t="shared" si="7"/>
        <v>1</v>
      </c>
      <c r="S133" s="6">
        <f t="shared" si="8"/>
        <v>1</v>
      </c>
      <c r="T133" s="5">
        <f t="shared" si="9"/>
        <v>1</v>
      </c>
    </row>
    <row r="134" spans="2:20" x14ac:dyDescent="0.25">
      <c r="B134" t="s">
        <v>63</v>
      </c>
      <c r="C134">
        <v>1</v>
      </c>
      <c r="N134">
        <v>1</v>
      </c>
      <c r="O134" s="1">
        <v>1</v>
      </c>
      <c r="P134" s="11">
        <f t="shared" ref="P134:P197" si="10">O134/11</f>
        <v>9.0909090909090912E-2</v>
      </c>
      <c r="Q134" s="11">
        <f t="shared" si="6"/>
        <v>3.0303030303030303E-3</v>
      </c>
      <c r="R134" s="19">
        <f t="shared" si="7"/>
        <v>1</v>
      </c>
      <c r="S134" s="6">
        <f t="shared" si="8"/>
        <v>1</v>
      </c>
      <c r="T134" s="5">
        <f t="shared" si="9"/>
        <v>1</v>
      </c>
    </row>
    <row r="135" spans="2:20" x14ac:dyDescent="0.25">
      <c r="B135" t="s">
        <v>1042</v>
      </c>
      <c r="L135">
        <v>3</v>
      </c>
      <c r="N135">
        <v>3</v>
      </c>
      <c r="O135" s="1">
        <v>3</v>
      </c>
      <c r="P135" s="11">
        <f t="shared" si="10"/>
        <v>0.27272727272727271</v>
      </c>
      <c r="Q135" s="11">
        <f t="shared" ref="Q135:Q198" si="11">P135/30</f>
        <v>9.0909090909090905E-3</v>
      </c>
      <c r="R135" s="19">
        <f t="shared" ref="R135:R198" si="12">ODD(Q135*14)</f>
        <v>1</v>
      </c>
      <c r="S135" s="6">
        <f t="shared" ref="S135:S198" si="13">ODD(Q135*10.5)</f>
        <v>1</v>
      </c>
      <c r="T135" s="5">
        <f t="shared" ref="T135:T198" si="14">ODD(Q135*7)</f>
        <v>1</v>
      </c>
    </row>
    <row r="136" spans="2:20" x14ac:dyDescent="0.25">
      <c r="B136" t="s">
        <v>815</v>
      </c>
      <c r="G136">
        <v>1</v>
      </c>
      <c r="J136">
        <v>1</v>
      </c>
      <c r="K136">
        <v>1</v>
      </c>
      <c r="M136">
        <v>2</v>
      </c>
      <c r="N136">
        <v>5</v>
      </c>
      <c r="O136" s="1">
        <v>5</v>
      </c>
      <c r="P136" s="11">
        <f t="shared" si="10"/>
        <v>0.45454545454545453</v>
      </c>
      <c r="Q136" s="11">
        <f t="shared" si="11"/>
        <v>1.515151515151515E-2</v>
      </c>
      <c r="R136" s="19">
        <f t="shared" si="12"/>
        <v>1</v>
      </c>
      <c r="S136" s="6">
        <f t="shared" si="13"/>
        <v>1</v>
      </c>
      <c r="T136" s="5">
        <f t="shared" si="14"/>
        <v>1</v>
      </c>
    </row>
    <row r="137" spans="2:20" x14ac:dyDescent="0.25">
      <c r="B137" t="s">
        <v>64</v>
      </c>
      <c r="C137">
        <v>5</v>
      </c>
      <c r="D137">
        <v>2</v>
      </c>
      <c r="E137">
        <v>3</v>
      </c>
      <c r="F137">
        <v>1</v>
      </c>
      <c r="G137">
        <v>4</v>
      </c>
      <c r="H137">
        <v>2</v>
      </c>
      <c r="I137">
        <v>4</v>
      </c>
      <c r="J137">
        <v>1</v>
      </c>
      <c r="K137">
        <v>3</v>
      </c>
      <c r="M137">
        <v>3</v>
      </c>
      <c r="N137">
        <v>28</v>
      </c>
      <c r="O137" s="1">
        <v>28</v>
      </c>
      <c r="P137" s="11">
        <f t="shared" si="10"/>
        <v>2.5454545454545454</v>
      </c>
      <c r="Q137" s="11">
        <f t="shared" si="11"/>
        <v>8.4848484848484854E-2</v>
      </c>
      <c r="R137" s="19">
        <f t="shared" si="12"/>
        <v>3</v>
      </c>
      <c r="S137" s="6">
        <f t="shared" si="13"/>
        <v>1</v>
      </c>
      <c r="T137" s="5">
        <f t="shared" si="14"/>
        <v>1</v>
      </c>
    </row>
    <row r="138" spans="2:20" x14ac:dyDescent="0.25">
      <c r="B138" t="s">
        <v>994</v>
      </c>
      <c r="K138">
        <v>2</v>
      </c>
      <c r="N138">
        <v>2</v>
      </c>
      <c r="O138" s="1">
        <v>2</v>
      </c>
      <c r="P138" s="11">
        <f t="shared" si="10"/>
        <v>0.18181818181818182</v>
      </c>
      <c r="Q138" s="11">
        <f t="shared" si="11"/>
        <v>6.0606060606060606E-3</v>
      </c>
      <c r="R138" s="19">
        <f t="shared" si="12"/>
        <v>1</v>
      </c>
      <c r="S138" s="6">
        <f t="shared" si="13"/>
        <v>1</v>
      </c>
      <c r="T138" s="5">
        <f t="shared" si="14"/>
        <v>1</v>
      </c>
    </row>
    <row r="139" spans="2:20" x14ac:dyDescent="0.25">
      <c r="B139" t="s">
        <v>1043</v>
      </c>
      <c r="L139">
        <v>4</v>
      </c>
      <c r="N139">
        <v>4</v>
      </c>
      <c r="O139" s="1">
        <v>4</v>
      </c>
      <c r="P139" s="11">
        <f t="shared" si="10"/>
        <v>0.36363636363636365</v>
      </c>
      <c r="Q139" s="11">
        <f t="shared" si="11"/>
        <v>1.2121212121212121E-2</v>
      </c>
      <c r="R139" s="19">
        <f t="shared" si="12"/>
        <v>1</v>
      </c>
      <c r="S139" s="6">
        <f t="shared" si="13"/>
        <v>1</v>
      </c>
      <c r="T139" s="5">
        <f t="shared" si="14"/>
        <v>1</v>
      </c>
    </row>
    <row r="140" spans="2:20" x14ac:dyDescent="0.25">
      <c r="B140" t="s">
        <v>65</v>
      </c>
      <c r="C140">
        <v>3</v>
      </c>
      <c r="D140">
        <v>3</v>
      </c>
      <c r="E140">
        <v>1</v>
      </c>
      <c r="G140">
        <v>2</v>
      </c>
      <c r="J140">
        <v>1</v>
      </c>
      <c r="M140">
        <v>1</v>
      </c>
      <c r="N140">
        <v>11</v>
      </c>
      <c r="O140" s="1">
        <v>11</v>
      </c>
      <c r="P140" s="11">
        <f t="shared" si="10"/>
        <v>1</v>
      </c>
      <c r="Q140" s="11">
        <f t="shared" si="11"/>
        <v>3.3333333333333333E-2</v>
      </c>
      <c r="R140" s="19">
        <f t="shared" si="12"/>
        <v>1</v>
      </c>
      <c r="S140" s="6">
        <f t="shared" si="13"/>
        <v>1</v>
      </c>
      <c r="T140" s="5">
        <f t="shared" si="14"/>
        <v>1</v>
      </c>
    </row>
    <row r="141" spans="2:20" x14ac:dyDescent="0.25">
      <c r="B141" t="s">
        <v>66</v>
      </c>
      <c r="C141">
        <v>3</v>
      </c>
      <c r="D141">
        <v>1</v>
      </c>
      <c r="E141">
        <v>4</v>
      </c>
      <c r="H141">
        <v>1</v>
      </c>
      <c r="I141">
        <v>1</v>
      </c>
      <c r="J141">
        <v>4</v>
      </c>
      <c r="L141">
        <v>1</v>
      </c>
      <c r="M141">
        <v>1</v>
      </c>
      <c r="N141">
        <v>16</v>
      </c>
      <c r="O141" s="1">
        <v>16</v>
      </c>
      <c r="P141" s="11">
        <f t="shared" si="10"/>
        <v>1.4545454545454546</v>
      </c>
      <c r="Q141" s="11">
        <f t="shared" si="11"/>
        <v>4.8484848484848485E-2</v>
      </c>
      <c r="R141" s="19">
        <f t="shared" si="12"/>
        <v>1</v>
      </c>
      <c r="S141" s="6">
        <f t="shared" si="13"/>
        <v>1</v>
      </c>
      <c r="T141" s="5">
        <f t="shared" si="14"/>
        <v>1</v>
      </c>
    </row>
    <row r="142" spans="2:20" x14ac:dyDescent="0.25">
      <c r="B142" t="s">
        <v>67</v>
      </c>
      <c r="C142">
        <v>2</v>
      </c>
      <c r="N142">
        <v>2</v>
      </c>
      <c r="O142" s="1">
        <v>2</v>
      </c>
      <c r="P142" s="11">
        <f t="shared" si="10"/>
        <v>0.18181818181818182</v>
      </c>
      <c r="Q142" s="11">
        <f t="shared" si="11"/>
        <v>6.0606060606060606E-3</v>
      </c>
      <c r="R142" s="19">
        <f t="shared" si="12"/>
        <v>1</v>
      </c>
      <c r="S142" s="6">
        <f t="shared" si="13"/>
        <v>1</v>
      </c>
      <c r="T142" s="5">
        <f t="shared" si="14"/>
        <v>1</v>
      </c>
    </row>
    <row r="143" spans="2:20" x14ac:dyDescent="0.25">
      <c r="B143" t="s">
        <v>516</v>
      </c>
      <c r="D143">
        <v>1</v>
      </c>
      <c r="E143">
        <v>1</v>
      </c>
      <c r="F143">
        <v>1</v>
      </c>
      <c r="G143">
        <v>1</v>
      </c>
      <c r="J143">
        <v>2</v>
      </c>
      <c r="K143">
        <v>1</v>
      </c>
      <c r="M143">
        <v>1</v>
      </c>
      <c r="N143">
        <v>8</v>
      </c>
      <c r="O143" s="1">
        <v>8</v>
      </c>
      <c r="P143" s="11">
        <f t="shared" si="10"/>
        <v>0.72727272727272729</v>
      </c>
      <c r="Q143" s="11">
        <f t="shared" si="11"/>
        <v>2.4242424242424242E-2</v>
      </c>
      <c r="R143" s="19">
        <f t="shared" si="12"/>
        <v>1</v>
      </c>
      <c r="S143" s="6">
        <f t="shared" si="13"/>
        <v>1</v>
      </c>
      <c r="T143" s="5">
        <f t="shared" si="14"/>
        <v>1</v>
      </c>
    </row>
    <row r="144" spans="2:20" x14ac:dyDescent="0.25">
      <c r="B144" t="s">
        <v>68</v>
      </c>
      <c r="C144">
        <v>2</v>
      </c>
      <c r="D144">
        <v>2</v>
      </c>
      <c r="F144">
        <v>1</v>
      </c>
      <c r="G144">
        <v>8</v>
      </c>
      <c r="H144">
        <v>1</v>
      </c>
      <c r="I144">
        <v>1</v>
      </c>
      <c r="J144">
        <v>1</v>
      </c>
      <c r="K144">
        <v>4</v>
      </c>
      <c r="L144">
        <v>7</v>
      </c>
      <c r="M144">
        <v>3</v>
      </c>
      <c r="N144">
        <v>30</v>
      </c>
      <c r="O144" s="1">
        <v>30</v>
      </c>
      <c r="P144" s="11">
        <f t="shared" si="10"/>
        <v>2.7272727272727271</v>
      </c>
      <c r="Q144" s="11">
        <f t="shared" si="11"/>
        <v>9.0909090909090898E-2</v>
      </c>
      <c r="R144" s="19">
        <f t="shared" si="12"/>
        <v>3</v>
      </c>
      <c r="S144" s="6">
        <f t="shared" si="13"/>
        <v>1</v>
      </c>
      <c r="T144" s="5">
        <f t="shared" si="14"/>
        <v>1</v>
      </c>
    </row>
    <row r="145" spans="2:20" x14ac:dyDescent="0.25">
      <c r="B145" t="s">
        <v>69</v>
      </c>
      <c r="C145">
        <v>43</v>
      </c>
      <c r="D145">
        <v>6</v>
      </c>
      <c r="E145">
        <v>5</v>
      </c>
      <c r="F145">
        <v>6</v>
      </c>
      <c r="G145">
        <v>23</v>
      </c>
      <c r="H145">
        <v>27</v>
      </c>
      <c r="I145">
        <v>2</v>
      </c>
      <c r="K145">
        <v>71</v>
      </c>
      <c r="L145">
        <v>22</v>
      </c>
      <c r="M145">
        <v>54</v>
      </c>
      <c r="N145">
        <v>259</v>
      </c>
      <c r="O145" s="1">
        <v>259</v>
      </c>
      <c r="P145" s="11">
        <f t="shared" si="10"/>
        <v>23.545454545454547</v>
      </c>
      <c r="Q145" s="11">
        <f t="shared" si="11"/>
        <v>0.78484848484848491</v>
      </c>
      <c r="R145" s="19">
        <f t="shared" si="12"/>
        <v>11</v>
      </c>
      <c r="S145" s="6">
        <f t="shared" si="13"/>
        <v>9</v>
      </c>
      <c r="T145" s="5">
        <f t="shared" si="14"/>
        <v>7</v>
      </c>
    </row>
    <row r="146" spans="2:20" x14ac:dyDescent="0.25">
      <c r="B146" t="s">
        <v>656</v>
      </c>
      <c r="E146">
        <v>1</v>
      </c>
      <c r="N146">
        <v>1</v>
      </c>
      <c r="O146" s="1">
        <v>1</v>
      </c>
      <c r="P146" s="11">
        <f t="shared" si="10"/>
        <v>9.0909090909090912E-2</v>
      </c>
      <c r="Q146" s="11">
        <f t="shared" si="11"/>
        <v>3.0303030303030303E-3</v>
      </c>
      <c r="R146" s="19">
        <f t="shared" si="12"/>
        <v>1</v>
      </c>
      <c r="S146" s="6">
        <f t="shared" si="13"/>
        <v>1</v>
      </c>
      <c r="T146" s="5">
        <f t="shared" si="14"/>
        <v>1</v>
      </c>
    </row>
    <row r="147" spans="2:20" x14ac:dyDescent="0.25">
      <c r="B147" t="s">
        <v>816</v>
      </c>
      <c r="G147">
        <v>1</v>
      </c>
      <c r="I147">
        <v>1</v>
      </c>
      <c r="M147">
        <v>1</v>
      </c>
      <c r="N147">
        <v>3</v>
      </c>
      <c r="O147" s="1">
        <v>3</v>
      </c>
      <c r="P147" s="11">
        <f t="shared" si="10"/>
        <v>0.27272727272727271</v>
      </c>
      <c r="Q147" s="11">
        <f t="shared" si="11"/>
        <v>9.0909090909090905E-3</v>
      </c>
      <c r="R147" s="19">
        <f t="shared" si="12"/>
        <v>1</v>
      </c>
      <c r="S147" s="6">
        <f t="shared" si="13"/>
        <v>1</v>
      </c>
      <c r="T147" s="5">
        <f t="shared" si="14"/>
        <v>1</v>
      </c>
    </row>
    <row r="148" spans="2:20" x14ac:dyDescent="0.25">
      <c r="B148" t="s">
        <v>517</v>
      </c>
      <c r="D148">
        <v>1</v>
      </c>
      <c r="N148">
        <v>1</v>
      </c>
      <c r="O148" s="1">
        <v>1</v>
      </c>
      <c r="P148" s="11">
        <f t="shared" si="10"/>
        <v>9.0909090909090912E-2</v>
      </c>
      <c r="Q148" s="11">
        <f t="shared" si="11"/>
        <v>3.0303030303030303E-3</v>
      </c>
      <c r="R148" s="19">
        <f t="shared" si="12"/>
        <v>1</v>
      </c>
      <c r="S148" s="6">
        <f t="shared" si="13"/>
        <v>1</v>
      </c>
      <c r="T148" s="5">
        <f t="shared" si="14"/>
        <v>1</v>
      </c>
    </row>
    <row r="149" spans="2:20" x14ac:dyDescent="0.25">
      <c r="B149" t="s">
        <v>657</v>
      </c>
      <c r="E149">
        <v>1</v>
      </c>
      <c r="H149">
        <v>2</v>
      </c>
      <c r="N149">
        <v>3</v>
      </c>
      <c r="O149" s="1">
        <v>3</v>
      </c>
      <c r="P149" s="11">
        <f t="shared" si="10"/>
        <v>0.27272727272727271</v>
      </c>
      <c r="Q149" s="11">
        <f t="shared" si="11"/>
        <v>9.0909090909090905E-3</v>
      </c>
      <c r="R149" s="19">
        <f t="shared" si="12"/>
        <v>1</v>
      </c>
      <c r="S149" s="6">
        <f t="shared" si="13"/>
        <v>1</v>
      </c>
      <c r="T149" s="5">
        <f t="shared" si="14"/>
        <v>1</v>
      </c>
    </row>
    <row r="150" spans="2:20" x14ac:dyDescent="0.25">
      <c r="B150" t="s">
        <v>747</v>
      </c>
      <c r="F150">
        <v>1</v>
      </c>
      <c r="H150">
        <v>1</v>
      </c>
      <c r="J150">
        <v>2</v>
      </c>
      <c r="L150">
        <v>5</v>
      </c>
      <c r="N150">
        <v>9</v>
      </c>
      <c r="O150" s="1">
        <v>9</v>
      </c>
      <c r="P150" s="11">
        <f t="shared" si="10"/>
        <v>0.81818181818181823</v>
      </c>
      <c r="Q150" s="11">
        <f t="shared" si="11"/>
        <v>2.7272727272727275E-2</v>
      </c>
      <c r="R150" s="19">
        <f t="shared" si="12"/>
        <v>1</v>
      </c>
      <c r="S150" s="6">
        <f t="shared" si="13"/>
        <v>1</v>
      </c>
      <c r="T150" s="5">
        <f t="shared" si="14"/>
        <v>1</v>
      </c>
    </row>
    <row r="151" spans="2:20" x14ac:dyDescent="0.25">
      <c r="B151" t="s">
        <v>518</v>
      </c>
      <c r="D151">
        <v>3</v>
      </c>
      <c r="N151">
        <v>3</v>
      </c>
      <c r="O151" s="1">
        <v>3</v>
      </c>
      <c r="P151" s="11">
        <f t="shared" si="10"/>
        <v>0.27272727272727271</v>
      </c>
      <c r="Q151" s="11">
        <f t="shared" si="11"/>
        <v>9.0909090909090905E-3</v>
      </c>
      <c r="R151" s="19">
        <f t="shared" si="12"/>
        <v>1</v>
      </c>
      <c r="S151" s="6">
        <f t="shared" si="13"/>
        <v>1</v>
      </c>
      <c r="T151" s="5">
        <f t="shared" si="14"/>
        <v>1</v>
      </c>
    </row>
    <row r="152" spans="2:20" x14ac:dyDescent="0.25">
      <c r="B152" t="s">
        <v>658</v>
      </c>
      <c r="E152">
        <v>1</v>
      </c>
      <c r="N152">
        <v>1</v>
      </c>
      <c r="O152" s="1">
        <v>1</v>
      </c>
      <c r="P152" s="11">
        <f t="shared" si="10"/>
        <v>9.0909090909090912E-2</v>
      </c>
      <c r="Q152" s="11">
        <f t="shared" si="11"/>
        <v>3.0303030303030303E-3</v>
      </c>
      <c r="R152" s="19">
        <f t="shared" si="12"/>
        <v>1</v>
      </c>
      <c r="S152" s="6">
        <f t="shared" si="13"/>
        <v>1</v>
      </c>
      <c r="T152" s="5">
        <f t="shared" si="14"/>
        <v>1</v>
      </c>
    </row>
    <row r="153" spans="2:20" x14ac:dyDescent="0.25">
      <c r="B153" t="s">
        <v>70</v>
      </c>
      <c r="C153">
        <v>2</v>
      </c>
      <c r="D153">
        <v>19</v>
      </c>
      <c r="E153">
        <v>3</v>
      </c>
      <c r="G153">
        <v>5</v>
      </c>
      <c r="H153">
        <v>16</v>
      </c>
      <c r="I153">
        <v>2</v>
      </c>
      <c r="J153">
        <v>1</v>
      </c>
      <c r="N153">
        <v>48</v>
      </c>
      <c r="O153" s="1">
        <v>48</v>
      </c>
      <c r="P153" s="11">
        <f t="shared" si="10"/>
        <v>4.3636363636363633</v>
      </c>
      <c r="Q153" s="11">
        <f t="shared" si="11"/>
        <v>0.14545454545454545</v>
      </c>
      <c r="R153" s="19">
        <f t="shared" si="12"/>
        <v>3</v>
      </c>
      <c r="S153" s="6">
        <f t="shared" si="13"/>
        <v>3</v>
      </c>
      <c r="T153" s="5">
        <f t="shared" si="14"/>
        <v>3</v>
      </c>
    </row>
    <row r="154" spans="2:20" x14ac:dyDescent="0.25">
      <c r="B154" t="s">
        <v>71</v>
      </c>
      <c r="C154">
        <v>12</v>
      </c>
      <c r="D154">
        <v>8</v>
      </c>
      <c r="E154">
        <v>6</v>
      </c>
      <c r="F154">
        <v>1</v>
      </c>
      <c r="G154">
        <v>4</v>
      </c>
      <c r="H154">
        <v>5</v>
      </c>
      <c r="I154">
        <v>7</v>
      </c>
      <c r="J154">
        <v>5</v>
      </c>
      <c r="K154">
        <v>5</v>
      </c>
      <c r="L154">
        <v>14</v>
      </c>
      <c r="M154">
        <v>3</v>
      </c>
      <c r="N154">
        <v>70</v>
      </c>
      <c r="O154" s="1">
        <v>70</v>
      </c>
      <c r="P154" s="11">
        <f t="shared" si="10"/>
        <v>6.3636363636363633</v>
      </c>
      <c r="Q154" s="11">
        <f t="shared" si="11"/>
        <v>0.2121212121212121</v>
      </c>
      <c r="R154" s="19">
        <f t="shared" si="12"/>
        <v>3</v>
      </c>
      <c r="S154" s="6">
        <f t="shared" si="13"/>
        <v>3</v>
      </c>
      <c r="T154" s="5">
        <f t="shared" si="14"/>
        <v>3</v>
      </c>
    </row>
    <row r="155" spans="2:20" x14ac:dyDescent="0.25">
      <c r="B155" t="s">
        <v>72</v>
      </c>
      <c r="C155">
        <v>86</v>
      </c>
      <c r="D155">
        <v>46</v>
      </c>
      <c r="E155">
        <v>33</v>
      </c>
      <c r="F155">
        <v>53</v>
      </c>
      <c r="G155">
        <v>48</v>
      </c>
      <c r="H155">
        <v>71</v>
      </c>
      <c r="I155">
        <v>24</v>
      </c>
      <c r="J155">
        <v>51</v>
      </c>
      <c r="K155">
        <v>51</v>
      </c>
      <c r="L155">
        <v>81</v>
      </c>
      <c r="M155">
        <v>74</v>
      </c>
      <c r="N155">
        <v>618</v>
      </c>
      <c r="O155" s="1">
        <v>618</v>
      </c>
      <c r="P155" s="11">
        <f t="shared" si="10"/>
        <v>56.18181818181818</v>
      </c>
      <c r="Q155" s="11">
        <f t="shared" si="11"/>
        <v>1.8727272727272726</v>
      </c>
      <c r="R155" s="19">
        <f t="shared" si="12"/>
        <v>27</v>
      </c>
      <c r="S155" s="6">
        <f t="shared" si="13"/>
        <v>21</v>
      </c>
      <c r="T155" s="5">
        <f t="shared" si="14"/>
        <v>15</v>
      </c>
    </row>
    <row r="156" spans="2:20" x14ac:dyDescent="0.25">
      <c r="B156" t="s">
        <v>73</v>
      </c>
      <c r="C156">
        <v>70</v>
      </c>
      <c r="D156">
        <v>32</v>
      </c>
      <c r="E156">
        <v>21</v>
      </c>
      <c r="F156">
        <v>4</v>
      </c>
      <c r="G156">
        <v>28</v>
      </c>
      <c r="H156">
        <v>56</v>
      </c>
      <c r="I156">
        <v>9</v>
      </c>
      <c r="J156">
        <v>14</v>
      </c>
      <c r="K156">
        <v>7</v>
      </c>
      <c r="L156">
        <v>20</v>
      </c>
      <c r="M156">
        <v>6</v>
      </c>
      <c r="N156">
        <v>267</v>
      </c>
      <c r="O156" s="1">
        <v>267</v>
      </c>
      <c r="P156" s="11">
        <f t="shared" si="10"/>
        <v>24.272727272727273</v>
      </c>
      <c r="Q156" s="11">
        <f t="shared" si="11"/>
        <v>0.80909090909090908</v>
      </c>
      <c r="R156" s="19">
        <f t="shared" si="12"/>
        <v>13</v>
      </c>
      <c r="S156" s="6">
        <f t="shared" si="13"/>
        <v>9</v>
      </c>
      <c r="T156" s="5">
        <f t="shared" si="14"/>
        <v>7</v>
      </c>
    </row>
    <row r="157" spans="2:20" x14ac:dyDescent="0.25">
      <c r="B157" t="s">
        <v>519</v>
      </c>
      <c r="D157">
        <v>1</v>
      </c>
      <c r="E157">
        <v>1</v>
      </c>
      <c r="G157">
        <v>1</v>
      </c>
      <c r="H157">
        <v>2</v>
      </c>
      <c r="J157">
        <v>2</v>
      </c>
      <c r="K157">
        <v>1</v>
      </c>
      <c r="L157">
        <v>1</v>
      </c>
      <c r="N157">
        <v>9</v>
      </c>
      <c r="O157" s="1">
        <v>9</v>
      </c>
      <c r="P157" s="11">
        <f t="shared" si="10"/>
        <v>0.81818181818181823</v>
      </c>
      <c r="Q157" s="11">
        <f t="shared" si="11"/>
        <v>2.7272727272727275E-2</v>
      </c>
      <c r="R157" s="19">
        <f t="shared" si="12"/>
        <v>1</v>
      </c>
      <c r="S157" s="6">
        <f t="shared" si="13"/>
        <v>1</v>
      </c>
      <c r="T157" s="5">
        <f t="shared" si="14"/>
        <v>1</v>
      </c>
    </row>
    <row r="158" spans="2:20" x14ac:dyDescent="0.25">
      <c r="B158" t="s">
        <v>1083</v>
      </c>
      <c r="M158">
        <v>14</v>
      </c>
      <c r="N158">
        <v>14</v>
      </c>
      <c r="O158" s="1">
        <v>14</v>
      </c>
      <c r="P158" s="11">
        <f t="shared" si="10"/>
        <v>1.2727272727272727</v>
      </c>
      <c r="Q158" s="11">
        <f t="shared" si="11"/>
        <v>4.2424242424242427E-2</v>
      </c>
      <c r="R158" s="19">
        <f t="shared" si="12"/>
        <v>1</v>
      </c>
      <c r="S158" s="6">
        <f t="shared" si="13"/>
        <v>1</v>
      </c>
      <c r="T158" s="5">
        <f t="shared" si="14"/>
        <v>1</v>
      </c>
    </row>
    <row r="159" spans="2:20" x14ac:dyDescent="0.25">
      <c r="B159" t="s">
        <v>74</v>
      </c>
      <c r="C159">
        <v>32</v>
      </c>
      <c r="D159">
        <v>15</v>
      </c>
      <c r="K159">
        <v>3</v>
      </c>
      <c r="L159">
        <v>22</v>
      </c>
      <c r="M159">
        <v>60</v>
      </c>
      <c r="N159">
        <v>132</v>
      </c>
      <c r="O159" s="1">
        <v>132</v>
      </c>
      <c r="P159" s="11">
        <f t="shared" si="10"/>
        <v>12</v>
      </c>
      <c r="Q159" s="11">
        <f t="shared" si="11"/>
        <v>0.4</v>
      </c>
      <c r="R159" s="19">
        <f t="shared" si="12"/>
        <v>7</v>
      </c>
      <c r="S159" s="6">
        <f t="shared" si="13"/>
        <v>5</v>
      </c>
      <c r="T159" s="5">
        <f t="shared" si="14"/>
        <v>3</v>
      </c>
    </row>
    <row r="160" spans="2:20" x14ac:dyDescent="0.25">
      <c r="B160" t="s">
        <v>75</v>
      </c>
      <c r="C160">
        <v>0</v>
      </c>
      <c r="D160">
        <v>2</v>
      </c>
      <c r="E160">
        <v>2</v>
      </c>
      <c r="N160">
        <v>4</v>
      </c>
      <c r="O160" s="1">
        <v>4</v>
      </c>
      <c r="P160" s="11">
        <f t="shared" si="10"/>
        <v>0.36363636363636365</v>
      </c>
      <c r="Q160" s="11">
        <f t="shared" si="11"/>
        <v>1.2121212121212121E-2</v>
      </c>
      <c r="R160" s="19">
        <f t="shared" si="12"/>
        <v>1</v>
      </c>
      <c r="S160" s="6">
        <f t="shared" si="13"/>
        <v>1</v>
      </c>
      <c r="T160" s="5">
        <f t="shared" si="14"/>
        <v>1</v>
      </c>
    </row>
    <row r="161" spans="2:20" x14ac:dyDescent="0.25">
      <c r="B161" t="s">
        <v>76</v>
      </c>
      <c r="C161">
        <v>8</v>
      </c>
      <c r="D161">
        <v>2</v>
      </c>
      <c r="G161">
        <v>5</v>
      </c>
      <c r="H161">
        <v>5</v>
      </c>
      <c r="I161">
        <v>4</v>
      </c>
      <c r="L161">
        <v>0</v>
      </c>
      <c r="M161">
        <v>0</v>
      </c>
      <c r="N161">
        <v>24</v>
      </c>
      <c r="O161" s="1">
        <v>24</v>
      </c>
      <c r="P161" s="11">
        <f t="shared" si="10"/>
        <v>2.1818181818181817</v>
      </c>
      <c r="Q161" s="11">
        <f t="shared" si="11"/>
        <v>7.2727272727272724E-2</v>
      </c>
      <c r="R161" s="19">
        <f t="shared" si="12"/>
        <v>3</v>
      </c>
      <c r="S161" s="6">
        <f t="shared" si="13"/>
        <v>1</v>
      </c>
      <c r="T161" s="5">
        <f t="shared" si="14"/>
        <v>1</v>
      </c>
    </row>
    <row r="162" spans="2:20" x14ac:dyDescent="0.25">
      <c r="B162" t="s">
        <v>77</v>
      </c>
      <c r="C162">
        <v>1</v>
      </c>
      <c r="L162">
        <v>1</v>
      </c>
      <c r="M162">
        <v>1</v>
      </c>
      <c r="N162">
        <v>3</v>
      </c>
      <c r="O162" s="1">
        <v>3</v>
      </c>
      <c r="P162" s="11">
        <f t="shared" si="10"/>
        <v>0.27272727272727271</v>
      </c>
      <c r="Q162" s="11">
        <f t="shared" si="11"/>
        <v>9.0909090909090905E-3</v>
      </c>
      <c r="R162" s="19">
        <f t="shared" si="12"/>
        <v>1</v>
      </c>
      <c r="S162" s="6">
        <f t="shared" si="13"/>
        <v>1</v>
      </c>
      <c r="T162" s="5">
        <f t="shared" si="14"/>
        <v>1</v>
      </c>
    </row>
    <row r="163" spans="2:20" x14ac:dyDescent="0.25">
      <c r="B163" t="s">
        <v>748</v>
      </c>
      <c r="F163">
        <v>1</v>
      </c>
      <c r="N163">
        <v>1</v>
      </c>
      <c r="O163" s="1">
        <v>1</v>
      </c>
      <c r="P163" s="11">
        <f t="shared" si="10"/>
        <v>9.0909090909090912E-2</v>
      </c>
      <c r="Q163" s="11">
        <f t="shared" si="11"/>
        <v>3.0303030303030303E-3</v>
      </c>
      <c r="R163" s="19">
        <f t="shared" si="12"/>
        <v>1</v>
      </c>
      <c r="S163" s="6">
        <f t="shared" si="13"/>
        <v>1</v>
      </c>
      <c r="T163" s="5">
        <f t="shared" si="14"/>
        <v>1</v>
      </c>
    </row>
    <row r="164" spans="2:20" x14ac:dyDescent="0.25">
      <c r="B164" t="s">
        <v>78</v>
      </c>
      <c r="C164">
        <v>1</v>
      </c>
      <c r="F164">
        <v>2</v>
      </c>
      <c r="G164">
        <v>2</v>
      </c>
      <c r="H164">
        <v>1</v>
      </c>
      <c r="I164">
        <v>2</v>
      </c>
      <c r="L164">
        <v>1</v>
      </c>
      <c r="N164">
        <v>9</v>
      </c>
      <c r="O164" s="1">
        <v>9</v>
      </c>
      <c r="P164" s="11">
        <f t="shared" si="10"/>
        <v>0.81818181818181823</v>
      </c>
      <c r="Q164" s="11">
        <f t="shared" si="11"/>
        <v>2.7272727272727275E-2</v>
      </c>
      <c r="R164" s="19">
        <f t="shared" si="12"/>
        <v>1</v>
      </c>
      <c r="S164" s="6">
        <f t="shared" si="13"/>
        <v>1</v>
      </c>
      <c r="T164" s="5">
        <f t="shared" si="14"/>
        <v>1</v>
      </c>
    </row>
    <row r="165" spans="2:20" x14ac:dyDescent="0.25">
      <c r="B165" t="s">
        <v>749</v>
      </c>
      <c r="F165">
        <v>2</v>
      </c>
      <c r="G165">
        <v>4</v>
      </c>
      <c r="H165">
        <v>1</v>
      </c>
      <c r="N165">
        <v>7</v>
      </c>
      <c r="O165" s="1">
        <v>7</v>
      </c>
      <c r="P165" s="11">
        <f t="shared" si="10"/>
        <v>0.63636363636363635</v>
      </c>
      <c r="Q165" s="11">
        <f t="shared" si="11"/>
        <v>2.1212121212121213E-2</v>
      </c>
      <c r="R165" s="19">
        <f t="shared" si="12"/>
        <v>1</v>
      </c>
      <c r="S165" s="6">
        <f t="shared" si="13"/>
        <v>1</v>
      </c>
      <c r="T165" s="5">
        <f t="shared" si="14"/>
        <v>1</v>
      </c>
    </row>
    <row r="166" spans="2:20" x14ac:dyDescent="0.25">
      <c r="B166" t="s">
        <v>862</v>
      </c>
      <c r="H166">
        <v>1</v>
      </c>
      <c r="N166">
        <v>1</v>
      </c>
      <c r="O166" s="1">
        <v>1</v>
      </c>
      <c r="P166" s="11">
        <f t="shared" si="10"/>
        <v>9.0909090909090912E-2</v>
      </c>
      <c r="Q166" s="11">
        <f t="shared" si="11"/>
        <v>3.0303030303030303E-3</v>
      </c>
      <c r="R166" s="19">
        <f t="shared" si="12"/>
        <v>1</v>
      </c>
      <c r="S166" s="6">
        <f t="shared" si="13"/>
        <v>1</v>
      </c>
      <c r="T166" s="5">
        <f t="shared" si="14"/>
        <v>1</v>
      </c>
    </row>
    <row r="167" spans="2:20" x14ac:dyDescent="0.25">
      <c r="B167" t="s">
        <v>863</v>
      </c>
      <c r="H167">
        <v>1</v>
      </c>
      <c r="N167">
        <v>1</v>
      </c>
      <c r="O167" s="1">
        <v>1</v>
      </c>
      <c r="P167" s="11">
        <f t="shared" si="10"/>
        <v>9.0909090909090912E-2</v>
      </c>
      <c r="Q167" s="11">
        <f t="shared" si="11"/>
        <v>3.0303030303030303E-3</v>
      </c>
      <c r="R167" s="19">
        <f t="shared" si="12"/>
        <v>1</v>
      </c>
      <c r="S167" s="6">
        <f t="shared" si="13"/>
        <v>1</v>
      </c>
      <c r="T167" s="5">
        <f t="shared" si="14"/>
        <v>1</v>
      </c>
    </row>
    <row r="168" spans="2:20" x14ac:dyDescent="0.25">
      <c r="B168" t="s">
        <v>79</v>
      </c>
      <c r="C168">
        <v>2</v>
      </c>
      <c r="G168">
        <v>2</v>
      </c>
      <c r="H168">
        <v>0</v>
      </c>
      <c r="J168">
        <v>1</v>
      </c>
      <c r="N168">
        <v>5</v>
      </c>
      <c r="O168" s="1">
        <v>5</v>
      </c>
      <c r="P168" s="11">
        <f t="shared" si="10"/>
        <v>0.45454545454545453</v>
      </c>
      <c r="Q168" s="11">
        <f t="shared" si="11"/>
        <v>1.515151515151515E-2</v>
      </c>
      <c r="R168" s="19">
        <f t="shared" si="12"/>
        <v>1</v>
      </c>
      <c r="S168" s="6">
        <f t="shared" si="13"/>
        <v>1</v>
      </c>
      <c r="T168" s="5">
        <f t="shared" si="14"/>
        <v>1</v>
      </c>
    </row>
    <row r="169" spans="2:20" x14ac:dyDescent="0.25">
      <c r="B169" t="s">
        <v>80</v>
      </c>
      <c r="C169">
        <v>1</v>
      </c>
      <c r="F169">
        <v>1</v>
      </c>
      <c r="G169">
        <v>1</v>
      </c>
      <c r="H169">
        <v>1</v>
      </c>
      <c r="I169">
        <v>3</v>
      </c>
      <c r="K169">
        <v>1</v>
      </c>
      <c r="M169">
        <v>1</v>
      </c>
      <c r="N169">
        <v>9</v>
      </c>
      <c r="O169" s="1">
        <v>9</v>
      </c>
      <c r="P169" s="11">
        <f t="shared" si="10"/>
        <v>0.81818181818181823</v>
      </c>
      <c r="Q169" s="11">
        <f t="shared" si="11"/>
        <v>2.7272727272727275E-2</v>
      </c>
      <c r="R169" s="19">
        <f t="shared" si="12"/>
        <v>1</v>
      </c>
      <c r="S169" s="6">
        <f t="shared" si="13"/>
        <v>1</v>
      </c>
      <c r="T169" s="5">
        <f t="shared" si="14"/>
        <v>1</v>
      </c>
    </row>
    <row r="170" spans="2:20" x14ac:dyDescent="0.25">
      <c r="B170" t="s">
        <v>520</v>
      </c>
      <c r="D170">
        <v>15</v>
      </c>
      <c r="E170">
        <v>5</v>
      </c>
      <c r="N170">
        <v>20</v>
      </c>
      <c r="O170" s="1">
        <v>20</v>
      </c>
      <c r="P170" s="11">
        <f t="shared" si="10"/>
        <v>1.8181818181818181</v>
      </c>
      <c r="Q170" s="11">
        <f t="shared" si="11"/>
        <v>6.0606060606060601E-2</v>
      </c>
      <c r="R170" s="19">
        <f t="shared" si="12"/>
        <v>1</v>
      </c>
      <c r="S170" s="6">
        <f t="shared" si="13"/>
        <v>1</v>
      </c>
      <c r="T170" s="5">
        <f t="shared" si="14"/>
        <v>1</v>
      </c>
    </row>
    <row r="171" spans="2:20" x14ac:dyDescent="0.25">
      <c r="B171" t="s">
        <v>81</v>
      </c>
      <c r="C171">
        <v>15</v>
      </c>
      <c r="D171">
        <v>10</v>
      </c>
      <c r="E171">
        <v>21</v>
      </c>
      <c r="F171">
        <v>15</v>
      </c>
      <c r="G171">
        <v>43</v>
      </c>
      <c r="H171">
        <v>12</v>
      </c>
      <c r="I171">
        <v>12</v>
      </c>
      <c r="J171">
        <v>17</v>
      </c>
      <c r="K171">
        <v>20</v>
      </c>
      <c r="L171">
        <v>38</v>
      </c>
      <c r="M171">
        <v>48</v>
      </c>
      <c r="N171">
        <v>251</v>
      </c>
      <c r="O171" s="1">
        <v>251</v>
      </c>
      <c r="P171" s="11">
        <f t="shared" si="10"/>
        <v>22.818181818181817</v>
      </c>
      <c r="Q171" s="11">
        <f t="shared" si="11"/>
        <v>0.76060606060606051</v>
      </c>
      <c r="R171" s="19">
        <f t="shared" si="12"/>
        <v>11</v>
      </c>
      <c r="S171" s="6">
        <f t="shared" si="13"/>
        <v>9</v>
      </c>
      <c r="T171" s="5">
        <f t="shared" si="14"/>
        <v>7</v>
      </c>
    </row>
    <row r="172" spans="2:20" x14ac:dyDescent="0.25">
      <c r="B172" t="s">
        <v>82</v>
      </c>
      <c r="C172">
        <v>2</v>
      </c>
      <c r="G172">
        <v>2</v>
      </c>
      <c r="N172">
        <v>4</v>
      </c>
      <c r="O172" s="1">
        <v>4</v>
      </c>
      <c r="P172" s="11">
        <f t="shared" si="10"/>
        <v>0.36363636363636365</v>
      </c>
      <c r="Q172" s="11">
        <f t="shared" si="11"/>
        <v>1.2121212121212121E-2</v>
      </c>
      <c r="R172" s="19">
        <f t="shared" si="12"/>
        <v>1</v>
      </c>
      <c r="S172" s="6">
        <f t="shared" si="13"/>
        <v>1</v>
      </c>
      <c r="T172" s="5">
        <f t="shared" si="14"/>
        <v>1</v>
      </c>
    </row>
    <row r="173" spans="2:20" x14ac:dyDescent="0.25">
      <c r="B173" t="s">
        <v>83</v>
      </c>
      <c r="C173">
        <v>1</v>
      </c>
      <c r="D173">
        <v>1</v>
      </c>
      <c r="G173">
        <v>1</v>
      </c>
      <c r="I173">
        <v>1</v>
      </c>
      <c r="N173">
        <v>4</v>
      </c>
      <c r="O173" s="1">
        <v>4</v>
      </c>
      <c r="P173" s="11">
        <f t="shared" si="10"/>
        <v>0.36363636363636365</v>
      </c>
      <c r="Q173" s="11">
        <f t="shared" si="11"/>
        <v>1.2121212121212121E-2</v>
      </c>
      <c r="R173" s="19">
        <f t="shared" si="12"/>
        <v>1</v>
      </c>
      <c r="S173" s="6">
        <f t="shared" si="13"/>
        <v>1</v>
      </c>
      <c r="T173" s="5">
        <f t="shared" si="14"/>
        <v>1</v>
      </c>
    </row>
    <row r="174" spans="2:20" x14ac:dyDescent="0.25">
      <c r="B174" t="s">
        <v>995</v>
      </c>
      <c r="K174">
        <v>1</v>
      </c>
      <c r="N174">
        <v>1</v>
      </c>
      <c r="O174" s="1">
        <v>1</v>
      </c>
      <c r="P174" s="11">
        <f t="shared" si="10"/>
        <v>9.0909090909090912E-2</v>
      </c>
      <c r="Q174" s="11">
        <f t="shared" si="11"/>
        <v>3.0303030303030303E-3</v>
      </c>
      <c r="R174" s="19">
        <f t="shared" si="12"/>
        <v>1</v>
      </c>
      <c r="S174" s="6">
        <f t="shared" si="13"/>
        <v>1</v>
      </c>
      <c r="T174" s="5">
        <f t="shared" si="14"/>
        <v>1</v>
      </c>
    </row>
    <row r="175" spans="2:20" x14ac:dyDescent="0.25">
      <c r="B175" t="s">
        <v>84</v>
      </c>
      <c r="C175">
        <v>9</v>
      </c>
      <c r="D175">
        <v>8</v>
      </c>
      <c r="E175">
        <v>5</v>
      </c>
      <c r="F175">
        <v>4</v>
      </c>
      <c r="G175">
        <v>3</v>
      </c>
      <c r="H175">
        <v>10</v>
      </c>
      <c r="I175">
        <v>3</v>
      </c>
      <c r="J175">
        <v>2</v>
      </c>
      <c r="K175">
        <v>4</v>
      </c>
      <c r="L175">
        <v>4</v>
      </c>
      <c r="M175">
        <v>7</v>
      </c>
      <c r="N175">
        <v>59</v>
      </c>
      <c r="O175" s="1">
        <v>59</v>
      </c>
      <c r="P175" s="11">
        <f t="shared" si="10"/>
        <v>5.3636363636363633</v>
      </c>
      <c r="Q175" s="11">
        <f t="shared" si="11"/>
        <v>0.17878787878787877</v>
      </c>
      <c r="R175" s="19">
        <f t="shared" si="12"/>
        <v>3</v>
      </c>
      <c r="S175" s="6">
        <f t="shared" si="13"/>
        <v>3</v>
      </c>
      <c r="T175" s="5">
        <f t="shared" si="14"/>
        <v>3</v>
      </c>
    </row>
    <row r="176" spans="2:20" x14ac:dyDescent="0.25">
      <c r="B176" t="s">
        <v>85</v>
      </c>
      <c r="C176">
        <v>2</v>
      </c>
      <c r="D176">
        <v>4</v>
      </c>
      <c r="E176">
        <v>6</v>
      </c>
      <c r="F176">
        <v>7</v>
      </c>
      <c r="G176">
        <v>4</v>
      </c>
      <c r="H176">
        <v>6</v>
      </c>
      <c r="I176">
        <v>6</v>
      </c>
      <c r="J176">
        <v>5</v>
      </c>
      <c r="K176">
        <v>10</v>
      </c>
      <c r="L176">
        <v>5</v>
      </c>
      <c r="M176">
        <v>5</v>
      </c>
      <c r="N176">
        <v>60</v>
      </c>
      <c r="O176" s="1">
        <v>60</v>
      </c>
      <c r="P176" s="11">
        <f t="shared" si="10"/>
        <v>5.4545454545454541</v>
      </c>
      <c r="Q176" s="11">
        <f t="shared" si="11"/>
        <v>0.1818181818181818</v>
      </c>
      <c r="R176" s="19">
        <f t="shared" si="12"/>
        <v>3</v>
      </c>
      <c r="S176" s="6">
        <f t="shared" si="13"/>
        <v>3</v>
      </c>
      <c r="T176" s="5">
        <f t="shared" si="14"/>
        <v>3</v>
      </c>
    </row>
    <row r="177" spans="2:20" x14ac:dyDescent="0.25">
      <c r="B177" t="s">
        <v>86</v>
      </c>
      <c r="C177">
        <v>101</v>
      </c>
      <c r="D177">
        <v>34</v>
      </c>
      <c r="E177">
        <v>38</v>
      </c>
      <c r="F177">
        <v>31</v>
      </c>
      <c r="G177">
        <v>38</v>
      </c>
      <c r="H177">
        <v>62</v>
      </c>
      <c r="I177">
        <v>45</v>
      </c>
      <c r="J177">
        <v>38</v>
      </c>
      <c r="K177">
        <v>39</v>
      </c>
      <c r="L177">
        <v>78</v>
      </c>
      <c r="M177">
        <v>115</v>
      </c>
      <c r="N177">
        <v>619</v>
      </c>
      <c r="O177" s="1">
        <v>619</v>
      </c>
      <c r="P177" s="11">
        <f t="shared" si="10"/>
        <v>56.272727272727273</v>
      </c>
      <c r="Q177" s="11">
        <f t="shared" si="11"/>
        <v>1.8757575757575757</v>
      </c>
      <c r="R177" s="19">
        <f t="shared" si="12"/>
        <v>27</v>
      </c>
      <c r="S177" s="6">
        <f t="shared" si="13"/>
        <v>21</v>
      </c>
      <c r="T177" s="5">
        <f t="shared" si="14"/>
        <v>15</v>
      </c>
    </row>
    <row r="178" spans="2:20" x14ac:dyDescent="0.25">
      <c r="B178" t="s">
        <v>87</v>
      </c>
      <c r="C178">
        <v>2</v>
      </c>
      <c r="E178">
        <v>3</v>
      </c>
      <c r="F178">
        <v>5</v>
      </c>
      <c r="G178">
        <v>2</v>
      </c>
      <c r="H178">
        <v>3</v>
      </c>
      <c r="I178">
        <v>4</v>
      </c>
      <c r="J178">
        <v>6</v>
      </c>
      <c r="K178">
        <v>2</v>
      </c>
      <c r="L178">
        <v>4</v>
      </c>
      <c r="M178">
        <v>4</v>
      </c>
      <c r="N178">
        <v>35</v>
      </c>
      <c r="O178" s="1">
        <v>35</v>
      </c>
      <c r="P178" s="11">
        <f t="shared" si="10"/>
        <v>3.1818181818181817</v>
      </c>
      <c r="Q178" s="11">
        <f t="shared" si="11"/>
        <v>0.10606060606060605</v>
      </c>
      <c r="R178" s="19">
        <f t="shared" si="12"/>
        <v>3</v>
      </c>
      <c r="S178" s="6">
        <f t="shared" si="13"/>
        <v>3</v>
      </c>
      <c r="T178" s="5">
        <f t="shared" si="14"/>
        <v>1</v>
      </c>
    </row>
    <row r="179" spans="2:20" x14ac:dyDescent="0.25">
      <c r="B179" t="s">
        <v>521</v>
      </c>
      <c r="D179">
        <v>1</v>
      </c>
      <c r="H179">
        <v>1</v>
      </c>
      <c r="I179">
        <v>1</v>
      </c>
      <c r="L179">
        <v>1</v>
      </c>
      <c r="N179">
        <v>4</v>
      </c>
      <c r="O179" s="1">
        <v>4</v>
      </c>
      <c r="P179" s="11">
        <f t="shared" si="10"/>
        <v>0.36363636363636365</v>
      </c>
      <c r="Q179" s="11">
        <f t="shared" si="11"/>
        <v>1.2121212121212121E-2</v>
      </c>
      <c r="R179" s="19">
        <f t="shared" si="12"/>
        <v>1</v>
      </c>
      <c r="S179" s="6">
        <f t="shared" si="13"/>
        <v>1</v>
      </c>
      <c r="T179" s="5">
        <f t="shared" si="14"/>
        <v>1</v>
      </c>
    </row>
    <row r="180" spans="2:20" x14ac:dyDescent="0.25">
      <c r="B180" t="s">
        <v>659</v>
      </c>
      <c r="E180">
        <v>2</v>
      </c>
      <c r="N180">
        <v>2</v>
      </c>
      <c r="O180" s="1">
        <v>2</v>
      </c>
      <c r="P180" s="11">
        <f t="shared" si="10"/>
        <v>0.18181818181818182</v>
      </c>
      <c r="Q180" s="11">
        <f t="shared" si="11"/>
        <v>6.0606060606060606E-3</v>
      </c>
      <c r="R180" s="19">
        <f t="shared" si="12"/>
        <v>1</v>
      </c>
      <c r="S180" s="6">
        <f t="shared" si="13"/>
        <v>1</v>
      </c>
      <c r="T180" s="5">
        <f t="shared" si="14"/>
        <v>1</v>
      </c>
    </row>
    <row r="181" spans="2:20" x14ac:dyDescent="0.25">
      <c r="B181" t="s">
        <v>996</v>
      </c>
      <c r="K181">
        <v>1</v>
      </c>
      <c r="L181">
        <v>1</v>
      </c>
      <c r="N181">
        <v>2</v>
      </c>
      <c r="O181" s="1">
        <v>2</v>
      </c>
      <c r="P181" s="11">
        <f t="shared" si="10"/>
        <v>0.18181818181818182</v>
      </c>
      <c r="Q181" s="11">
        <f t="shared" si="11"/>
        <v>6.0606060606060606E-3</v>
      </c>
      <c r="R181" s="19">
        <f t="shared" si="12"/>
        <v>1</v>
      </c>
      <c r="S181" s="6">
        <f t="shared" si="13"/>
        <v>1</v>
      </c>
      <c r="T181" s="5">
        <f t="shared" si="14"/>
        <v>1</v>
      </c>
    </row>
    <row r="182" spans="2:20" x14ac:dyDescent="0.25">
      <c r="B182" t="s">
        <v>918</v>
      </c>
      <c r="I182">
        <v>2</v>
      </c>
      <c r="J182">
        <v>1</v>
      </c>
      <c r="L182">
        <v>2</v>
      </c>
      <c r="N182">
        <v>5</v>
      </c>
      <c r="O182" s="1">
        <v>5</v>
      </c>
      <c r="P182" s="11">
        <f t="shared" si="10"/>
        <v>0.45454545454545453</v>
      </c>
      <c r="Q182" s="11">
        <f t="shared" si="11"/>
        <v>1.515151515151515E-2</v>
      </c>
      <c r="R182" s="19">
        <f t="shared" si="12"/>
        <v>1</v>
      </c>
      <c r="S182" s="6">
        <f t="shared" si="13"/>
        <v>1</v>
      </c>
      <c r="T182" s="5">
        <f t="shared" si="14"/>
        <v>1</v>
      </c>
    </row>
    <row r="183" spans="2:20" x14ac:dyDescent="0.25">
      <c r="B183" t="s">
        <v>88</v>
      </c>
      <c r="C183">
        <v>1</v>
      </c>
      <c r="E183">
        <v>1</v>
      </c>
      <c r="G183">
        <v>1</v>
      </c>
      <c r="J183">
        <v>1</v>
      </c>
      <c r="K183">
        <v>2</v>
      </c>
      <c r="M183">
        <v>1</v>
      </c>
      <c r="N183">
        <v>7</v>
      </c>
      <c r="O183" s="1">
        <v>7</v>
      </c>
      <c r="P183" s="11">
        <f t="shared" si="10"/>
        <v>0.63636363636363635</v>
      </c>
      <c r="Q183" s="11">
        <f t="shared" si="11"/>
        <v>2.1212121212121213E-2</v>
      </c>
      <c r="R183" s="19">
        <f t="shared" si="12"/>
        <v>1</v>
      </c>
      <c r="S183" s="6">
        <f t="shared" si="13"/>
        <v>1</v>
      </c>
      <c r="T183" s="5">
        <f t="shared" si="14"/>
        <v>1</v>
      </c>
    </row>
    <row r="184" spans="2:20" x14ac:dyDescent="0.25">
      <c r="B184" t="s">
        <v>522</v>
      </c>
      <c r="D184">
        <v>1</v>
      </c>
      <c r="E184">
        <v>1</v>
      </c>
      <c r="N184">
        <v>2</v>
      </c>
      <c r="O184" s="1">
        <v>2</v>
      </c>
      <c r="P184" s="11">
        <f t="shared" si="10"/>
        <v>0.18181818181818182</v>
      </c>
      <c r="Q184" s="11">
        <f t="shared" si="11"/>
        <v>6.0606060606060606E-3</v>
      </c>
      <c r="R184" s="19">
        <f t="shared" si="12"/>
        <v>1</v>
      </c>
      <c r="S184" s="6">
        <f t="shared" si="13"/>
        <v>1</v>
      </c>
      <c r="T184" s="5">
        <f t="shared" si="14"/>
        <v>1</v>
      </c>
    </row>
    <row r="185" spans="2:20" x14ac:dyDescent="0.25">
      <c r="B185" t="s">
        <v>750</v>
      </c>
      <c r="F185">
        <v>1</v>
      </c>
      <c r="G185">
        <v>1</v>
      </c>
      <c r="I185">
        <v>1</v>
      </c>
      <c r="J185">
        <v>1</v>
      </c>
      <c r="L185">
        <v>1</v>
      </c>
      <c r="N185">
        <v>5</v>
      </c>
      <c r="O185" s="1">
        <v>5</v>
      </c>
      <c r="P185" s="11">
        <f t="shared" si="10"/>
        <v>0.45454545454545453</v>
      </c>
      <c r="Q185" s="11">
        <f t="shared" si="11"/>
        <v>1.515151515151515E-2</v>
      </c>
      <c r="R185" s="19">
        <f t="shared" si="12"/>
        <v>1</v>
      </c>
      <c r="S185" s="6">
        <f t="shared" si="13"/>
        <v>1</v>
      </c>
      <c r="T185" s="5">
        <f t="shared" si="14"/>
        <v>1</v>
      </c>
    </row>
    <row r="186" spans="2:20" x14ac:dyDescent="0.25">
      <c r="B186" t="s">
        <v>523</v>
      </c>
      <c r="D186">
        <v>1</v>
      </c>
      <c r="E186">
        <v>2</v>
      </c>
      <c r="F186">
        <v>1</v>
      </c>
      <c r="G186">
        <v>1</v>
      </c>
      <c r="H186">
        <v>2</v>
      </c>
      <c r="I186">
        <v>3</v>
      </c>
      <c r="J186">
        <v>1</v>
      </c>
      <c r="M186">
        <v>1</v>
      </c>
      <c r="N186">
        <v>12</v>
      </c>
      <c r="O186" s="1">
        <v>12</v>
      </c>
      <c r="P186" s="11">
        <f t="shared" si="10"/>
        <v>1.0909090909090908</v>
      </c>
      <c r="Q186" s="11">
        <f t="shared" si="11"/>
        <v>3.6363636363636362E-2</v>
      </c>
      <c r="R186" s="19">
        <f t="shared" si="12"/>
        <v>1</v>
      </c>
      <c r="S186" s="6">
        <f t="shared" si="13"/>
        <v>1</v>
      </c>
      <c r="T186" s="5">
        <f t="shared" si="14"/>
        <v>1</v>
      </c>
    </row>
    <row r="187" spans="2:20" x14ac:dyDescent="0.25">
      <c r="B187" t="s">
        <v>524</v>
      </c>
      <c r="D187">
        <v>1</v>
      </c>
      <c r="H187">
        <v>1</v>
      </c>
      <c r="I187">
        <v>2</v>
      </c>
      <c r="J187">
        <v>1</v>
      </c>
      <c r="M187">
        <v>2</v>
      </c>
      <c r="N187">
        <v>7</v>
      </c>
      <c r="O187" s="1">
        <v>7</v>
      </c>
      <c r="P187" s="11">
        <f t="shared" si="10"/>
        <v>0.63636363636363635</v>
      </c>
      <c r="Q187" s="11">
        <f t="shared" si="11"/>
        <v>2.1212121212121213E-2</v>
      </c>
      <c r="R187" s="19">
        <f t="shared" si="12"/>
        <v>1</v>
      </c>
      <c r="S187" s="6">
        <f t="shared" si="13"/>
        <v>1</v>
      </c>
      <c r="T187" s="5">
        <f t="shared" si="14"/>
        <v>1</v>
      </c>
    </row>
    <row r="188" spans="2:20" x14ac:dyDescent="0.25">
      <c r="B188" t="s">
        <v>89</v>
      </c>
      <c r="C188">
        <v>1</v>
      </c>
      <c r="H188">
        <v>1</v>
      </c>
      <c r="I188">
        <v>1</v>
      </c>
      <c r="J188">
        <v>1</v>
      </c>
      <c r="K188">
        <v>1</v>
      </c>
      <c r="N188">
        <v>5</v>
      </c>
      <c r="O188" s="1">
        <v>5</v>
      </c>
      <c r="P188" s="11">
        <f t="shared" si="10"/>
        <v>0.45454545454545453</v>
      </c>
      <c r="Q188" s="11">
        <f t="shared" si="11"/>
        <v>1.515151515151515E-2</v>
      </c>
      <c r="R188" s="19">
        <f t="shared" si="12"/>
        <v>1</v>
      </c>
      <c r="S188" s="6">
        <f t="shared" si="13"/>
        <v>1</v>
      </c>
      <c r="T188" s="5">
        <f t="shared" si="14"/>
        <v>1</v>
      </c>
    </row>
    <row r="189" spans="2:20" x14ac:dyDescent="0.25">
      <c r="B189" t="s">
        <v>864</v>
      </c>
      <c r="H189">
        <v>1</v>
      </c>
      <c r="N189">
        <v>1</v>
      </c>
      <c r="O189" s="1">
        <v>1</v>
      </c>
      <c r="P189" s="11">
        <f t="shared" si="10"/>
        <v>9.0909090909090912E-2</v>
      </c>
      <c r="Q189" s="11">
        <f t="shared" si="11"/>
        <v>3.0303030303030303E-3</v>
      </c>
      <c r="R189" s="19">
        <f t="shared" si="12"/>
        <v>1</v>
      </c>
      <c r="S189" s="6">
        <f t="shared" si="13"/>
        <v>1</v>
      </c>
      <c r="T189" s="5">
        <f t="shared" si="14"/>
        <v>1</v>
      </c>
    </row>
    <row r="190" spans="2:20" x14ac:dyDescent="0.25">
      <c r="B190" t="s">
        <v>90</v>
      </c>
      <c r="C190">
        <v>1</v>
      </c>
      <c r="D190">
        <v>1</v>
      </c>
      <c r="J190">
        <v>1</v>
      </c>
      <c r="N190">
        <v>3</v>
      </c>
      <c r="O190" s="1">
        <v>3</v>
      </c>
      <c r="P190" s="11">
        <f t="shared" si="10"/>
        <v>0.27272727272727271</v>
      </c>
      <c r="Q190" s="11">
        <f t="shared" si="11"/>
        <v>9.0909090909090905E-3</v>
      </c>
      <c r="R190" s="19">
        <f t="shared" si="12"/>
        <v>1</v>
      </c>
      <c r="S190" s="6">
        <f t="shared" si="13"/>
        <v>1</v>
      </c>
      <c r="T190" s="5">
        <f t="shared" si="14"/>
        <v>1</v>
      </c>
    </row>
    <row r="191" spans="2:20" x14ac:dyDescent="0.25">
      <c r="B191" t="s">
        <v>525</v>
      </c>
      <c r="D191">
        <v>1</v>
      </c>
      <c r="F191">
        <v>1</v>
      </c>
      <c r="H191">
        <v>1</v>
      </c>
      <c r="I191">
        <v>2</v>
      </c>
      <c r="K191">
        <v>1</v>
      </c>
      <c r="L191">
        <v>1</v>
      </c>
      <c r="N191">
        <v>7</v>
      </c>
      <c r="O191" s="1">
        <v>7</v>
      </c>
      <c r="P191" s="11">
        <f t="shared" si="10"/>
        <v>0.63636363636363635</v>
      </c>
      <c r="Q191" s="11">
        <f t="shared" si="11"/>
        <v>2.1212121212121213E-2</v>
      </c>
      <c r="R191" s="19">
        <f t="shared" si="12"/>
        <v>1</v>
      </c>
      <c r="S191" s="6">
        <f t="shared" si="13"/>
        <v>1</v>
      </c>
      <c r="T191" s="5">
        <f t="shared" si="14"/>
        <v>1</v>
      </c>
    </row>
    <row r="192" spans="2:20" x14ac:dyDescent="0.25">
      <c r="B192" t="s">
        <v>919</v>
      </c>
      <c r="I192">
        <v>1</v>
      </c>
      <c r="N192">
        <v>1</v>
      </c>
      <c r="O192" s="1">
        <v>1</v>
      </c>
      <c r="P192" s="11">
        <f t="shared" si="10"/>
        <v>9.0909090909090912E-2</v>
      </c>
      <c r="Q192" s="11">
        <f t="shared" si="11"/>
        <v>3.0303030303030303E-3</v>
      </c>
      <c r="R192" s="19">
        <f t="shared" si="12"/>
        <v>1</v>
      </c>
      <c r="S192" s="6">
        <f t="shared" si="13"/>
        <v>1</v>
      </c>
      <c r="T192" s="5">
        <f t="shared" si="14"/>
        <v>1</v>
      </c>
    </row>
    <row r="193" spans="2:20" x14ac:dyDescent="0.25">
      <c r="B193" t="s">
        <v>91</v>
      </c>
      <c r="C193">
        <v>3</v>
      </c>
      <c r="D193">
        <v>2</v>
      </c>
      <c r="E193">
        <v>9</v>
      </c>
      <c r="F193">
        <v>2</v>
      </c>
      <c r="G193">
        <v>5</v>
      </c>
      <c r="H193">
        <v>4</v>
      </c>
      <c r="I193">
        <v>1</v>
      </c>
      <c r="J193">
        <v>5</v>
      </c>
      <c r="K193">
        <v>5</v>
      </c>
      <c r="L193">
        <v>3</v>
      </c>
      <c r="M193">
        <v>1</v>
      </c>
      <c r="N193">
        <v>40</v>
      </c>
      <c r="O193" s="1">
        <v>40</v>
      </c>
      <c r="P193" s="11">
        <f t="shared" si="10"/>
        <v>3.6363636363636362</v>
      </c>
      <c r="Q193" s="11">
        <f t="shared" si="11"/>
        <v>0.1212121212121212</v>
      </c>
      <c r="R193" s="19">
        <f t="shared" si="12"/>
        <v>3</v>
      </c>
      <c r="S193" s="6">
        <f t="shared" si="13"/>
        <v>3</v>
      </c>
      <c r="T193" s="5">
        <f t="shared" si="14"/>
        <v>1</v>
      </c>
    </row>
    <row r="194" spans="2:20" x14ac:dyDescent="0.25">
      <c r="B194" t="s">
        <v>997</v>
      </c>
      <c r="K194">
        <v>1</v>
      </c>
      <c r="N194">
        <v>1</v>
      </c>
      <c r="O194" s="1">
        <v>1</v>
      </c>
      <c r="P194" s="11">
        <f t="shared" si="10"/>
        <v>9.0909090909090912E-2</v>
      </c>
      <c r="Q194" s="11">
        <f t="shared" si="11"/>
        <v>3.0303030303030303E-3</v>
      </c>
      <c r="R194" s="19">
        <f t="shared" si="12"/>
        <v>1</v>
      </c>
      <c r="S194" s="6">
        <f t="shared" si="13"/>
        <v>1</v>
      </c>
      <c r="T194" s="5">
        <f t="shared" si="14"/>
        <v>1</v>
      </c>
    </row>
    <row r="195" spans="2:20" x14ac:dyDescent="0.25">
      <c r="B195" t="s">
        <v>751</v>
      </c>
      <c r="F195">
        <v>1</v>
      </c>
      <c r="N195">
        <v>1</v>
      </c>
      <c r="O195" s="1">
        <v>1</v>
      </c>
      <c r="P195" s="11">
        <f t="shared" si="10"/>
        <v>9.0909090909090912E-2</v>
      </c>
      <c r="Q195" s="11">
        <f t="shared" si="11"/>
        <v>3.0303030303030303E-3</v>
      </c>
      <c r="R195" s="19">
        <f t="shared" si="12"/>
        <v>1</v>
      </c>
      <c r="S195" s="6">
        <f t="shared" si="13"/>
        <v>1</v>
      </c>
      <c r="T195" s="5">
        <f t="shared" si="14"/>
        <v>1</v>
      </c>
    </row>
    <row r="196" spans="2:20" x14ac:dyDescent="0.25">
      <c r="B196" t="s">
        <v>865</v>
      </c>
      <c r="H196">
        <v>1</v>
      </c>
      <c r="N196">
        <v>1</v>
      </c>
      <c r="O196" s="1">
        <v>1</v>
      </c>
      <c r="P196" s="11">
        <f t="shared" si="10"/>
        <v>9.0909090909090912E-2</v>
      </c>
      <c r="Q196" s="11">
        <f t="shared" si="11"/>
        <v>3.0303030303030303E-3</v>
      </c>
      <c r="R196" s="19">
        <f t="shared" si="12"/>
        <v>1</v>
      </c>
      <c r="S196" s="6">
        <f t="shared" si="13"/>
        <v>1</v>
      </c>
      <c r="T196" s="5">
        <f t="shared" si="14"/>
        <v>1</v>
      </c>
    </row>
    <row r="197" spans="2:20" x14ac:dyDescent="0.25">
      <c r="B197" t="s">
        <v>92</v>
      </c>
      <c r="C197">
        <v>3</v>
      </c>
      <c r="D197">
        <v>6</v>
      </c>
      <c r="E197">
        <v>3</v>
      </c>
      <c r="G197">
        <v>1</v>
      </c>
      <c r="H197">
        <v>4</v>
      </c>
      <c r="I197">
        <v>1</v>
      </c>
      <c r="K197">
        <v>1</v>
      </c>
      <c r="L197">
        <v>4</v>
      </c>
      <c r="M197">
        <v>2</v>
      </c>
      <c r="N197">
        <v>25</v>
      </c>
      <c r="O197" s="1">
        <v>25</v>
      </c>
      <c r="P197" s="11">
        <f t="shared" si="10"/>
        <v>2.2727272727272729</v>
      </c>
      <c r="Q197" s="11">
        <f t="shared" si="11"/>
        <v>7.575757575757576E-2</v>
      </c>
      <c r="R197" s="19">
        <f t="shared" si="12"/>
        <v>3</v>
      </c>
      <c r="S197" s="6">
        <f t="shared" si="13"/>
        <v>1</v>
      </c>
      <c r="T197" s="5">
        <f t="shared" si="14"/>
        <v>1</v>
      </c>
    </row>
    <row r="198" spans="2:20" x14ac:dyDescent="0.25">
      <c r="B198" t="s">
        <v>866</v>
      </c>
      <c r="H198">
        <v>1</v>
      </c>
      <c r="N198">
        <v>1</v>
      </c>
      <c r="O198" s="1">
        <v>1</v>
      </c>
      <c r="P198" s="11">
        <f t="shared" ref="P198:P261" si="15">O198/11</f>
        <v>9.0909090909090912E-2</v>
      </c>
      <c r="Q198" s="11">
        <f t="shared" si="11"/>
        <v>3.0303030303030303E-3</v>
      </c>
      <c r="R198" s="19">
        <f t="shared" si="12"/>
        <v>1</v>
      </c>
      <c r="S198" s="6">
        <f t="shared" si="13"/>
        <v>1</v>
      </c>
      <c r="T198" s="5">
        <f t="shared" si="14"/>
        <v>1</v>
      </c>
    </row>
    <row r="199" spans="2:20" x14ac:dyDescent="0.25">
      <c r="B199" t="s">
        <v>93</v>
      </c>
      <c r="C199">
        <v>6</v>
      </c>
      <c r="E199">
        <v>8</v>
      </c>
      <c r="L199">
        <v>7</v>
      </c>
      <c r="N199">
        <v>21</v>
      </c>
      <c r="O199" s="1">
        <v>21</v>
      </c>
      <c r="P199" s="11">
        <f t="shared" si="15"/>
        <v>1.9090909090909092</v>
      </c>
      <c r="Q199" s="11">
        <f t="shared" ref="Q199:Q262" si="16">P199/30</f>
        <v>6.3636363636363644E-2</v>
      </c>
      <c r="R199" s="19">
        <f t="shared" ref="R199:R262" si="17">ODD(Q199*14)</f>
        <v>1</v>
      </c>
      <c r="S199" s="6">
        <f t="shared" ref="S199:S262" si="18">ODD(Q199*10.5)</f>
        <v>1</v>
      </c>
      <c r="T199" s="5">
        <f t="shared" ref="T199:T262" si="19">ODD(Q199*7)</f>
        <v>1</v>
      </c>
    </row>
    <row r="200" spans="2:20" x14ac:dyDescent="0.25">
      <c r="B200" t="s">
        <v>94</v>
      </c>
      <c r="C200">
        <v>5</v>
      </c>
      <c r="D200">
        <v>7</v>
      </c>
      <c r="E200">
        <v>2</v>
      </c>
      <c r="F200">
        <v>14</v>
      </c>
      <c r="G200">
        <v>4</v>
      </c>
      <c r="H200">
        <v>10</v>
      </c>
      <c r="I200">
        <v>7</v>
      </c>
      <c r="J200">
        <v>11</v>
      </c>
      <c r="K200">
        <v>17</v>
      </c>
      <c r="L200">
        <v>10</v>
      </c>
      <c r="M200">
        <v>12</v>
      </c>
      <c r="N200">
        <v>99</v>
      </c>
      <c r="O200" s="1">
        <v>99</v>
      </c>
      <c r="P200" s="11">
        <f t="shared" si="15"/>
        <v>9</v>
      </c>
      <c r="Q200" s="11">
        <f t="shared" si="16"/>
        <v>0.3</v>
      </c>
      <c r="R200" s="19">
        <f t="shared" si="17"/>
        <v>5</v>
      </c>
      <c r="S200" s="6">
        <f t="shared" si="18"/>
        <v>5</v>
      </c>
      <c r="T200" s="5">
        <f t="shared" si="19"/>
        <v>3</v>
      </c>
    </row>
    <row r="201" spans="2:20" x14ac:dyDescent="0.25">
      <c r="B201" t="s">
        <v>95</v>
      </c>
      <c r="C201">
        <v>63</v>
      </c>
      <c r="D201">
        <v>43</v>
      </c>
      <c r="E201">
        <v>30</v>
      </c>
      <c r="F201">
        <v>55</v>
      </c>
      <c r="G201">
        <v>74</v>
      </c>
      <c r="H201">
        <v>39</v>
      </c>
      <c r="I201">
        <v>48</v>
      </c>
      <c r="J201">
        <v>46</v>
      </c>
      <c r="K201">
        <v>19</v>
      </c>
      <c r="L201">
        <v>30</v>
      </c>
      <c r="M201">
        <v>43</v>
      </c>
      <c r="N201">
        <v>490</v>
      </c>
      <c r="O201" s="1">
        <v>490</v>
      </c>
      <c r="P201" s="11">
        <f t="shared" si="15"/>
        <v>44.545454545454547</v>
      </c>
      <c r="Q201" s="11">
        <f t="shared" si="16"/>
        <v>1.4848484848484849</v>
      </c>
      <c r="R201" s="19">
        <f t="shared" si="17"/>
        <v>21</v>
      </c>
      <c r="S201" s="6">
        <f t="shared" si="18"/>
        <v>17</v>
      </c>
      <c r="T201" s="5">
        <f t="shared" si="19"/>
        <v>11</v>
      </c>
    </row>
    <row r="202" spans="2:20" x14ac:dyDescent="0.25">
      <c r="B202" t="s">
        <v>96</v>
      </c>
      <c r="C202">
        <v>38</v>
      </c>
      <c r="F202">
        <v>4</v>
      </c>
      <c r="G202">
        <v>44</v>
      </c>
      <c r="H202">
        <v>82</v>
      </c>
      <c r="I202">
        <v>2</v>
      </c>
      <c r="J202">
        <v>11</v>
      </c>
      <c r="K202">
        <v>23</v>
      </c>
      <c r="M202">
        <v>24</v>
      </c>
      <c r="N202">
        <v>228</v>
      </c>
      <c r="O202" s="1">
        <v>228</v>
      </c>
      <c r="P202" s="11">
        <f t="shared" si="15"/>
        <v>20.727272727272727</v>
      </c>
      <c r="Q202" s="11">
        <f t="shared" si="16"/>
        <v>0.69090909090909092</v>
      </c>
      <c r="R202" s="19">
        <f t="shared" si="17"/>
        <v>11</v>
      </c>
      <c r="S202" s="6">
        <f t="shared" si="18"/>
        <v>9</v>
      </c>
      <c r="T202" s="5">
        <f t="shared" si="19"/>
        <v>5</v>
      </c>
    </row>
    <row r="203" spans="2:20" x14ac:dyDescent="0.25">
      <c r="B203" t="s">
        <v>97</v>
      </c>
      <c r="C203">
        <v>100</v>
      </c>
      <c r="D203">
        <v>20</v>
      </c>
      <c r="E203">
        <v>18</v>
      </c>
      <c r="F203">
        <v>58</v>
      </c>
      <c r="G203">
        <v>2</v>
      </c>
      <c r="H203">
        <v>74</v>
      </c>
      <c r="I203">
        <v>14</v>
      </c>
      <c r="J203">
        <v>3</v>
      </c>
      <c r="K203">
        <v>12</v>
      </c>
      <c r="L203">
        <v>24</v>
      </c>
      <c r="M203">
        <v>10</v>
      </c>
      <c r="N203">
        <v>335</v>
      </c>
      <c r="O203" s="1">
        <v>335</v>
      </c>
      <c r="P203" s="11">
        <f t="shared" si="15"/>
        <v>30.454545454545453</v>
      </c>
      <c r="Q203" s="11">
        <f t="shared" si="16"/>
        <v>1.0151515151515151</v>
      </c>
      <c r="R203" s="19">
        <f t="shared" si="17"/>
        <v>15</v>
      </c>
      <c r="S203" s="6">
        <f t="shared" si="18"/>
        <v>11</v>
      </c>
      <c r="T203" s="5">
        <f t="shared" si="19"/>
        <v>9</v>
      </c>
    </row>
    <row r="204" spans="2:20" x14ac:dyDescent="0.25">
      <c r="B204" t="s">
        <v>526</v>
      </c>
      <c r="D204">
        <v>3</v>
      </c>
      <c r="F204">
        <v>0</v>
      </c>
      <c r="G204">
        <v>4</v>
      </c>
      <c r="I204">
        <v>3</v>
      </c>
      <c r="M204">
        <v>1</v>
      </c>
      <c r="N204">
        <v>11</v>
      </c>
      <c r="O204" s="1">
        <v>11</v>
      </c>
      <c r="P204" s="11">
        <f t="shared" si="15"/>
        <v>1</v>
      </c>
      <c r="Q204" s="11">
        <f t="shared" si="16"/>
        <v>3.3333333333333333E-2</v>
      </c>
      <c r="R204" s="19">
        <f t="shared" si="17"/>
        <v>1</v>
      </c>
      <c r="S204" s="6">
        <f t="shared" si="18"/>
        <v>1</v>
      </c>
      <c r="T204" s="5">
        <f t="shared" si="19"/>
        <v>1</v>
      </c>
    </row>
    <row r="205" spans="2:20" x14ac:dyDescent="0.25">
      <c r="B205" t="s">
        <v>817</v>
      </c>
      <c r="G205">
        <v>107</v>
      </c>
      <c r="H205">
        <v>66</v>
      </c>
      <c r="N205">
        <v>173</v>
      </c>
      <c r="O205" s="1">
        <v>173</v>
      </c>
      <c r="P205" s="11">
        <f t="shared" si="15"/>
        <v>15.727272727272727</v>
      </c>
      <c r="Q205" s="11">
        <f t="shared" si="16"/>
        <v>0.52424242424242418</v>
      </c>
      <c r="R205" s="19">
        <f t="shared" si="17"/>
        <v>9</v>
      </c>
      <c r="S205" s="6">
        <f t="shared" si="18"/>
        <v>7</v>
      </c>
      <c r="T205" s="5">
        <f t="shared" si="19"/>
        <v>5</v>
      </c>
    </row>
    <row r="206" spans="2:20" x14ac:dyDescent="0.25">
      <c r="B206" t="s">
        <v>660</v>
      </c>
      <c r="E206">
        <v>16</v>
      </c>
      <c r="F206">
        <v>4</v>
      </c>
      <c r="G206">
        <v>0</v>
      </c>
      <c r="H206">
        <v>0</v>
      </c>
      <c r="J206">
        <v>1</v>
      </c>
      <c r="L206">
        <v>1</v>
      </c>
      <c r="M206">
        <v>1</v>
      </c>
      <c r="N206">
        <v>23</v>
      </c>
      <c r="O206" s="1">
        <v>23</v>
      </c>
      <c r="P206" s="11">
        <f t="shared" si="15"/>
        <v>2.0909090909090908</v>
      </c>
      <c r="Q206" s="11">
        <f t="shared" si="16"/>
        <v>6.9696969696969688E-2</v>
      </c>
      <c r="R206" s="19">
        <f t="shared" si="17"/>
        <v>1</v>
      </c>
      <c r="S206" s="6">
        <f t="shared" si="18"/>
        <v>1</v>
      </c>
      <c r="T206" s="5">
        <f t="shared" si="19"/>
        <v>1</v>
      </c>
    </row>
    <row r="207" spans="2:20" x14ac:dyDescent="0.25">
      <c r="B207" t="s">
        <v>98</v>
      </c>
      <c r="C207">
        <v>135</v>
      </c>
      <c r="D207">
        <v>127</v>
      </c>
      <c r="E207">
        <v>137</v>
      </c>
      <c r="F207">
        <v>96</v>
      </c>
      <c r="G207">
        <v>6</v>
      </c>
      <c r="H207">
        <v>48</v>
      </c>
      <c r="I207">
        <v>73</v>
      </c>
      <c r="J207">
        <v>122</v>
      </c>
      <c r="K207">
        <v>92</v>
      </c>
      <c r="L207">
        <v>171</v>
      </c>
      <c r="M207">
        <v>98</v>
      </c>
      <c r="N207">
        <v>1105</v>
      </c>
      <c r="O207" s="1">
        <v>1105</v>
      </c>
      <c r="P207" s="11">
        <f t="shared" si="15"/>
        <v>100.45454545454545</v>
      </c>
      <c r="Q207" s="11">
        <f t="shared" si="16"/>
        <v>3.3484848484848486</v>
      </c>
      <c r="R207" s="19">
        <f t="shared" si="17"/>
        <v>47</v>
      </c>
      <c r="S207" s="6">
        <f t="shared" si="18"/>
        <v>37</v>
      </c>
      <c r="T207" s="5">
        <f t="shared" si="19"/>
        <v>25</v>
      </c>
    </row>
    <row r="208" spans="2:20" x14ac:dyDescent="0.25">
      <c r="B208" t="s">
        <v>99</v>
      </c>
      <c r="C208">
        <v>0</v>
      </c>
      <c r="D208">
        <v>0</v>
      </c>
      <c r="E208">
        <v>2</v>
      </c>
      <c r="F208">
        <v>1</v>
      </c>
      <c r="N208">
        <v>3</v>
      </c>
      <c r="O208" s="1">
        <v>3</v>
      </c>
      <c r="P208" s="11">
        <f t="shared" si="15"/>
        <v>0.27272727272727271</v>
      </c>
      <c r="Q208" s="11">
        <f t="shared" si="16"/>
        <v>9.0909090909090905E-3</v>
      </c>
      <c r="R208" s="19">
        <f t="shared" si="17"/>
        <v>1</v>
      </c>
      <c r="S208" s="6">
        <f t="shared" si="18"/>
        <v>1</v>
      </c>
      <c r="T208" s="5">
        <f t="shared" si="19"/>
        <v>1</v>
      </c>
    </row>
    <row r="209" spans="2:20" x14ac:dyDescent="0.25">
      <c r="B209" t="s">
        <v>752</v>
      </c>
      <c r="F209">
        <v>1</v>
      </c>
      <c r="N209">
        <v>1</v>
      </c>
      <c r="O209" s="1">
        <v>1</v>
      </c>
      <c r="P209" s="11">
        <f t="shared" si="15"/>
        <v>9.0909090909090912E-2</v>
      </c>
      <c r="Q209" s="11">
        <f t="shared" si="16"/>
        <v>3.0303030303030303E-3</v>
      </c>
      <c r="R209" s="19">
        <f t="shared" si="17"/>
        <v>1</v>
      </c>
      <c r="S209" s="6">
        <f t="shared" si="18"/>
        <v>1</v>
      </c>
      <c r="T209" s="5">
        <f t="shared" si="19"/>
        <v>1</v>
      </c>
    </row>
    <row r="210" spans="2:20" x14ac:dyDescent="0.25">
      <c r="B210" t="s">
        <v>998</v>
      </c>
      <c r="K210">
        <v>8</v>
      </c>
      <c r="L210">
        <v>3</v>
      </c>
      <c r="N210">
        <v>11</v>
      </c>
      <c r="O210" s="1">
        <v>11</v>
      </c>
      <c r="P210" s="11">
        <f t="shared" si="15"/>
        <v>1</v>
      </c>
      <c r="Q210" s="11">
        <f t="shared" si="16"/>
        <v>3.3333333333333333E-2</v>
      </c>
      <c r="R210" s="19">
        <f t="shared" si="17"/>
        <v>1</v>
      </c>
      <c r="S210" s="6">
        <f t="shared" si="18"/>
        <v>1</v>
      </c>
      <c r="T210" s="5">
        <f t="shared" si="19"/>
        <v>1</v>
      </c>
    </row>
    <row r="211" spans="2:20" x14ac:dyDescent="0.25">
      <c r="B211" t="s">
        <v>1044</v>
      </c>
      <c r="L211">
        <v>2</v>
      </c>
      <c r="M211">
        <v>2</v>
      </c>
      <c r="N211">
        <v>4</v>
      </c>
      <c r="O211" s="1">
        <v>4</v>
      </c>
      <c r="P211" s="11">
        <f t="shared" si="15"/>
        <v>0.36363636363636365</v>
      </c>
      <c r="Q211" s="11">
        <f t="shared" si="16"/>
        <v>1.2121212121212121E-2</v>
      </c>
      <c r="R211" s="19">
        <f t="shared" si="17"/>
        <v>1</v>
      </c>
      <c r="S211" s="6">
        <f t="shared" si="18"/>
        <v>1</v>
      </c>
      <c r="T211" s="5">
        <f t="shared" si="19"/>
        <v>1</v>
      </c>
    </row>
    <row r="212" spans="2:20" x14ac:dyDescent="0.25">
      <c r="B212" t="s">
        <v>100</v>
      </c>
      <c r="C212">
        <v>2</v>
      </c>
      <c r="D212">
        <v>3</v>
      </c>
      <c r="E212">
        <v>2</v>
      </c>
      <c r="J212">
        <v>3</v>
      </c>
      <c r="K212">
        <v>1</v>
      </c>
      <c r="M212">
        <v>1</v>
      </c>
      <c r="N212">
        <v>12</v>
      </c>
      <c r="O212" s="1">
        <v>12</v>
      </c>
      <c r="P212" s="11">
        <f t="shared" si="15"/>
        <v>1.0909090909090908</v>
      </c>
      <c r="Q212" s="11">
        <f t="shared" si="16"/>
        <v>3.6363636363636362E-2</v>
      </c>
      <c r="R212" s="19">
        <f t="shared" si="17"/>
        <v>1</v>
      </c>
      <c r="S212" s="6">
        <f t="shared" si="18"/>
        <v>1</v>
      </c>
      <c r="T212" s="5">
        <f t="shared" si="19"/>
        <v>1</v>
      </c>
    </row>
    <row r="213" spans="2:20" x14ac:dyDescent="0.25">
      <c r="B213" t="s">
        <v>101</v>
      </c>
      <c r="C213">
        <v>2</v>
      </c>
      <c r="D213">
        <v>3</v>
      </c>
      <c r="E213">
        <v>2</v>
      </c>
      <c r="F213">
        <v>1</v>
      </c>
      <c r="G213">
        <v>1</v>
      </c>
      <c r="H213">
        <v>3</v>
      </c>
      <c r="I213">
        <v>3</v>
      </c>
      <c r="J213">
        <v>5</v>
      </c>
      <c r="K213">
        <v>1</v>
      </c>
      <c r="L213">
        <v>1</v>
      </c>
      <c r="M213">
        <v>1</v>
      </c>
      <c r="N213">
        <v>23</v>
      </c>
      <c r="O213" s="1">
        <v>23</v>
      </c>
      <c r="P213" s="11">
        <f t="shared" si="15"/>
        <v>2.0909090909090908</v>
      </c>
      <c r="Q213" s="11">
        <f t="shared" si="16"/>
        <v>6.9696969696969688E-2</v>
      </c>
      <c r="R213" s="19">
        <f t="shared" si="17"/>
        <v>1</v>
      </c>
      <c r="S213" s="6">
        <f t="shared" si="18"/>
        <v>1</v>
      </c>
      <c r="T213" s="5">
        <f t="shared" si="19"/>
        <v>1</v>
      </c>
    </row>
    <row r="214" spans="2:20" x14ac:dyDescent="0.25">
      <c r="B214" t="s">
        <v>102</v>
      </c>
      <c r="C214">
        <v>1</v>
      </c>
      <c r="F214">
        <v>2</v>
      </c>
      <c r="H214">
        <v>2</v>
      </c>
      <c r="I214">
        <v>1</v>
      </c>
      <c r="K214">
        <v>2</v>
      </c>
      <c r="L214">
        <v>2</v>
      </c>
      <c r="N214">
        <v>10</v>
      </c>
      <c r="O214" s="1">
        <v>10</v>
      </c>
      <c r="P214" s="11">
        <f t="shared" si="15"/>
        <v>0.90909090909090906</v>
      </c>
      <c r="Q214" s="11">
        <f t="shared" si="16"/>
        <v>3.03030303030303E-2</v>
      </c>
      <c r="R214" s="19">
        <f t="shared" si="17"/>
        <v>1</v>
      </c>
      <c r="S214" s="6">
        <f t="shared" si="18"/>
        <v>1</v>
      </c>
      <c r="T214" s="5">
        <f t="shared" si="19"/>
        <v>1</v>
      </c>
    </row>
    <row r="215" spans="2:20" x14ac:dyDescent="0.25">
      <c r="B215" t="s">
        <v>920</v>
      </c>
      <c r="I215">
        <v>1</v>
      </c>
      <c r="N215">
        <v>1</v>
      </c>
      <c r="O215" s="1">
        <v>1</v>
      </c>
      <c r="P215" s="11">
        <f t="shared" si="15"/>
        <v>9.0909090909090912E-2</v>
      </c>
      <c r="Q215" s="11">
        <f t="shared" si="16"/>
        <v>3.0303030303030303E-3</v>
      </c>
      <c r="R215" s="19">
        <f t="shared" si="17"/>
        <v>1</v>
      </c>
      <c r="S215" s="6">
        <f t="shared" si="18"/>
        <v>1</v>
      </c>
      <c r="T215" s="5">
        <f t="shared" si="19"/>
        <v>1</v>
      </c>
    </row>
    <row r="216" spans="2:20" x14ac:dyDescent="0.25">
      <c r="B216" t="s">
        <v>527</v>
      </c>
      <c r="D216">
        <v>1</v>
      </c>
      <c r="E216">
        <v>2</v>
      </c>
      <c r="F216">
        <v>3</v>
      </c>
      <c r="H216">
        <v>3</v>
      </c>
      <c r="N216">
        <v>9</v>
      </c>
      <c r="O216" s="1">
        <v>9</v>
      </c>
      <c r="P216" s="11">
        <f t="shared" si="15"/>
        <v>0.81818181818181823</v>
      </c>
      <c r="Q216" s="11">
        <f t="shared" si="16"/>
        <v>2.7272727272727275E-2</v>
      </c>
      <c r="R216" s="19">
        <f t="shared" si="17"/>
        <v>1</v>
      </c>
      <c r="S216" s="6">
        <f t="shared" si="18"/>
        <v>1</v>
      </c>
      <c r="T216" s="5">
        <f t="shared" si="19"/>
        <v>1</v>
      </c>
    </row>
    <row r="217" spans="2:20" x14ac:dyDescent="0.25">
      <c r="B217" t="s">
        <v>103</v>
      </c>
      <c r="C217">
        <v>5</v>
      </c>
      <c r="D217">
        <v>2</v>
      </c>
      <c r="E217">
        <v>1</v>
      </c>
      <c r="F217">
        <v>1</v>
      </c>
      <c r="G217">
        <v>1</v>
      </c>
      <c r="N217">
        <v>10</v>
      </c>
      <c r="O217" s="1">
        <v>10</v>
      </c>
      <c r="P217" s="11">
        <f t="shared" si="15"/>
        <v>0.90909090909090906</v>
      </c>
      <c r="Q217" s="11">
        <f t="shared" si="16"/>
        <v>3.03030303030303E-2</v>
      </c>
      <c r="R217" s="19">
        <f t="shared" si="17"/>
        <v>1</v>
      </c>
      <c r="S217" s="6">
        <f t="shared" si="18"/>
        <v>1</v>
      </c>
      <c r="T217" s="5">
        <f t="shared" si="19"/>
        <v>1</v>
      </c>
    </row>
    <row r="218" spans="2:20" x14ac:dyDescent="0.25">
      <c r="B218" t="s">
        <v>921</v>
      </c>
      <c r="I218">
        <v>1</v>
      </c>
      <c r="N218">
        <v>1</v>
      </c>
      <c r="O218" s="1">
        <v>1</v>
      </c>
      <c r="P218" s="11">
        <f t="shared" si="15"/>
        <v>9.0909090909090912E-2</v>
      </c>
      <c r="Q218" s="11">
        <f t="shared" si="16"/>
        <v>3.0303030303030303E-3</v>
      </c>
      <c r="R218" s="19">
        <f t="shared" si="17"/>
        <v>1</v>
      </c>
      <c r="S218" s="6">
        <f t="shared" si="18"/>
        <v>1</v>
      </c>
      <c r="T218" s="5">
        <f t="shared" si="19"/>
        <v>1</v>
      </c>
    </row>
    <row r="219" spans="2:20" x14ac:dyDescent="0.25">
      <c r="B219" t="s">
        <v>528</v>
      </c>
      <c r="D219">
        <v>3</v>
      </c>
      <c r="I219">
        <v>4</v>
      </c>
      <c r="J219">
        <v>1</v>
      </c>
      <c r="K219">
        <v>8</v>
      </c>
      <c r="L219">
        <v>8</v>
      </c>
      <c r="N219">
        <v>24</v>
      </c>
      <c r="O219" s="1">
        <v>24</v>
      </c>
      <c r="P219" s="11">
        <f t="shared" si="15"/>
        <v>2.1818181818181817</v>
      </c>
      <c r="Q219" s="11">
        <f t="shared" si="16"/>
        <v>7.2727272727272724E-2</v>
      </c>
      <c r="R219" s="19">
        <f t="shared" si="17"/>
        <v>3</v>
      </c>
      <c r="S219" s="6">
        <f t="shared" si="18"/>
        <v>1</v>
      </c>
      <c r="T219" s="5">
        <f t="shared" si="19"/>
        <v>1</v>
      </c>
    </row>
    <row r="220" spans="2:20" x14ac:dyDescent="0.25">
      <c r="B220" t="s">
        <v>999</v>
      </c>
      <c r="K220">
        <v>3</v>
      </c>
      <c r="N220">
        <v>3</v>
      </c>
      <c r="O220" s="1">
        <v>3</v>
      </c>
      <c r="P220" s="11">
        <f t="shared" si="15"/>
        <v>0.27272727272727271</v>
      </c>
      <c r="Q220" s="11">
        <f t="shared" si="16"/>
        <v>9.0909090909090905E-3</v>
      </c>
      <c r="R220" s="19">
        <f t="shared" si="17"/>
        <v>1</v>
      </c>
      <c r="S220" s="6">
        <f t="shared" si="18"/>
        <v>1</v>
      </c>
      <c r="T220" s="5">
        <f t="shared" si="19"/>
        <v>1</v>
      </c>
    </row>
    <row r="221" spans="2:20" x14ac:dyDescent="0.25">
      <c r="B221" t="s">
        <v>104</v>
      </c>
      <c r="C221">
        <v>2</v>
      </c>
      <c r="D221">
        <v>1</v>
      </c>
      <c r="E221">
        <v>2</v>
      </c>
      <c r="G221">
        <v>1</v>
      </c>
      <c r="H221">
        <v>8</v>
      </c>
      <c r="K221">
        <v>1</v>
      </c>
      <c r="M221">
        <v>3</v>
      </c>
      <c r="N221">
        <v>18</v>
      </c>
      <c r="O221" s="1">
        <v>18</v>
      </c>
      <c r="P221" s="11">
        <f t="shared" si="15"/>
        <v>1.6363636363636365</v>
      </c>
      <c r="Q221" s="11">
        <f t="shared" si="16"/>
        <v>5.454545454545455E-2</v>
      </c>
      <c r="R221" s="19">
        <f t="shared" si="17"/>
        <v>1</v>
      </c>
      <c r="S221" s="6">
        <f t="shared" si="18"/>
        <v>1</v>
      </c>
      <c r="T221" s="5">
        <f t="shared" si="19"/>
        <v>1</v>
      </c>
    </row>
    <row r="222" spans="2:20" x14ac:dyDescent="0.25">
      <c r="B222" t="s">
        <v>105</v>
      </c>
      <c r="C222">
        <v>2</v>
      </c>
      <c r="D222">
        <v>7</v>
      </c>
      <c r="E222">
        <v>4</v>
      </c>
      <c r="F222">
        <v>4</v>
      </c>
      <c r="G222">
        <v>1</v>
      </c>
      <c r="H222">
        <v>3</v>
      </c>
      <c r="I222">
        <v>4</v>
      </c>
      <c r="J222">
        <v>5</v>
      </c>
      <c r="K222">
        <v>3</v>
      </c>
      <c r="L222">
        <v>5</v>
      </c>
      <c r="M222">
        <v>9</v>
      </c>
      <c r="N222">
        <v>47</v>
      </c>
      <c r="O222" s="1">
        <v>47</v>
      </c>
      <c r="P222" s="11">
        <f t="shared" si="15"/>
        <v>4.2727272727272725</v>
      </c>
      <c r="Q222" s="11">
        <f t="shared" si="16"/>
        <v>0.14242424242424243</v>
      </c>
      <c r="R222" s="19">
        <f t="shared" si="17"/>
        <v>3</v>
      </c>
      <c r="S222" s="6">
        <f t="shared" si="18"/>
        <v>3</v>
      </c>
      <c r="T222" s="5">
        <f t="shared" si="19"/>
        <v>1</v>
      </c>
    </row>
    <row r="223" spans="2:20" x14ac:dyDescent="0.25">
      <c r="B223" t="s">
        <v>529</v>
      </c>
      <c r="D223">
        <v>1</v>
      </c>
      <c r="N223">
        <v>1</v>
      </c>
      <c r="O223" s="1">
        <v>1</v>
      </c>
      <c r="P223" s="11">
        <f t="shared" si="15"/>
        <v>9.0909090909090912E-2</v>
      </c>
      <c r="Q223" s="11">
        <f t="shared" si="16"/>
        <v>3.0303030303030303E-3</v>
      </c>
      <c r="R223" s="19">
        <f t="shared" si="17"/>
        <v>1</v>
      </c>
      <c r="S223" s="6">
        <f t="shared" si="18"/>
        <v>1</v>
      </c>
      <c r="T223" s="5">
        <f t="shared" si="19"/>
        <v>1</v>
      </c>
    </row>
    <row r="224" spans="2:20" x14ac:dyDescent="0.25">
      <c r="B224" t="s">
        <v>661</v>
      </c>
      <c r="E224">
        <v>1</v>
      </c>
      <c r="F224">
        <v>1</v>
      </c>
      <c r="G224">
        <v>1</v>
      </c>
      <c r="H224">
        <v>2</v>
      </c>
      <c r="J224">
        <v>1</v>
      </c>
      <c r="L224">
        <v>2</v>
      </c>
      <c r="M224">
        <v>1</v>
      </c>
      <c r="N224">
        <v>9</v>
      </c>
      <c r="O224" s="1">
        <v>9</v>
      </c>
      <c r="P224" s="11">
        <f t="shared" si="15"/>
        <v>0.81818181818181823</v>
      </c>
      <c r="Q224" s="11">
        <f t="shared" si="16"/>
        <v>2.7272727272727275E-2</v>
      </c>
      <c r="R224" s="19">
        <f t="shared" si="17"/>
        <v>1</v>
      </c>
      <c r="S224" s="6">
        <f t="shared" si="18"/>
        <v>1</v>
      </c>
      <c r="T224" s="5">
        <f t="shared" si="19"/>
        <v>1</v>
      </c>
    </row>
    <row r="225" spans="2:20" x14ac:dyDescent="0.25">
      <c r="B225" t="s">
        <v>1045</v>
      </c>
      <c r="L225">
        <v>1</v>
      </c>
      <c r="M225">
        <v>1</v>
      </c>
      <c r="N225">
        <v>2</v>
      </c>
      <c r="O225" s="1">
        <v>2</v>
      </c>
      <c r="P225" s="11">
        <f t="shared" si="15"/>
        <v>0.18181818181818182</v>
      </c>
      <c r="Q225" s="11">
        <f t="shared" si="16"/>
        <v>6.0606060606060606E-3</v>
      </c>
      <c r="R225" s="19">
        <f t="shared" si="17"/>
        <v>1</v>
      </c>
      <c r="S225" s="6">
        <f t="shared" si="18"/>
        <v>1</v>
      </c>
      <c r="T225" s="5">
        <f t="shared" si="19"/>
        <v>1</v>
      </c>
    </row>
    <row r="226" spans="2:20" x14ac:dyDescent="0.25">
      <c r="B226" t="s">
        <v>1000</v>
      </c>
      <c r="K226">
        <v>1</v>
      </c>
      <c r="L226">
        <v>1</v>
      </c>
      <c r="M226">
        <v>2</v>
      </c>
      <c r="N226">
        <v>4</v>
      </c>
      <c r="O226" s="1">
        <v>4</v>
      </c>
      <c r="P226" s="11">
        <f t="shared" si="15"/>
        <v>0.36363636363636365</v>
      </c>
      <c r="Q226" s="11">
        <f t="shared" si="16"/>
        <v>1.2121212121212121E-2</v>
      </c>
      <c r="R226" s="19">
        <f t="shared" si="17"/>
        <v>1</v>
      </c>
      <c r="S226" s="6">
        <f t="shared" si="18"/>
        <v>1</v>
      </c>
      <c r="T226" s="5">
        <f t="shared" si="19"/>
        <v>1</v>
      </c>
    </row>
    <row r="227" spans="2:20" x14ac:dyDescent="0.25">
      <c r="B227" t="s">
        <v>922</v>
      </c>
      <c r="I227">
        <v>1</v>
      </c>
      <c r="J227">
        <v>1</v>
      </c>
      <c r="K227">
        <v>2</v>
      </c>
      <c r="L227">
        <v>3</v>
      </c>
      <c r="M227">
        <v>2</v>
      </c>
      <c r="N227">
        <v>9</v>
      </c>
      <c r="O227" s="1">
        <v>9</v>
      </c>
      <c r="P227" s="11">
        <f t="shared" si="15"/>
        <v>0.81818181818181823</v>
      </c>
      <c r="Q227" s="11">
        <f t="shared" si="16"/>
        <v>2.7272727272727275E-2</v>
      </c>
      <c r="R227" s="19">
        <f t="shared" si="17"/>
        <v>1</v>
      </c>
      <c r="S227" s="6">
        <f t="shared" si="18"/>
        <v>1</v>
      </c>
      <c r="T227" s="5">
        <f t="shared" si="19"/>
        <v>1</v>
      </c>
    </row>
    <row r="228" spans="2:20" x14ac:dyDescent="0.25">
      <c r="B228" t="s">
        <v>818</v>
      </c>
      <c r="G228">
        <v>1</v>
      </c>
      <c r="J228">
        <v>2</v>
      </c>
      <c r="N228">
        <v>3</v>
      </c>
      <c r="O228" s="1">
        <v>3</v>
      </c>
      <c r="P228" s="11">
        <f t="shared" si="15"/>
        <v>0.27272727272727271</v>
      </c>
      <c r="Q228" s="11">
        <f t="shared" si="16"/>
        <v>9.0909090909090905E-3</v>
      </c>
      <c r="R228" s="19">
        <f t="shared" si="17"/>
        <v>1</v>
      </c>
      <c r="S228" s="6">
        <f t="shared" si="18"/>
        <v>1</v>
      </c>
      <c r="T228" s="5">
        <f t="shared" si="19"/>
        <v>1</v>
      </c>
    </row>
    <row r="229" spans="2:20" x14ac:dyDescent="0.25">
      <c r="B229" t="s">
        <v>106</v>
      </c>
      <c r="C229">
        <v>4</v>
      </c>
      <c r="D229">
        <v>3</v>
      </c>
      <c r="E229">
        <v>1</v>
      </c>
      <c r="F229">
        <v>4</v>
      </c>
      <c r="L229">
        <v>1</v>
      </c>
      <c r="M229">
        <v>1</v>
      </c>
      <c r="N229">
        <v>14</v>
      </c>
      <c r="O229" s="1">
        <v>14</v>
      </c>
      <c r="P229" s="11">
        <f t="shared" si="15"/>
        <v>1.2727272727272727</v>
      </c>
      <c r="Q229" s="11">
        <f t="shared" si="16"/>
        <v>4.2424242424242427E-2</v>
      </c>
      <c r="R229" s="19">
        <f t="shared" si="17"/>
        <v>1</v>
      </c>
      <c r="S229" s="6">
        <f t="shared" si="18"/>
        <v>1</v>
      </c>
      <c r="T229" s="5">
        <f t="shared" si="19"/>
        <v>1</v>
      </c>
    </row>
    <row r="230" spans="2:20" x14ac:dyDescent="0.25">
      <c r="B230" t="s">
        <v>107</v>
      </c>
      <c r="C230">
        <v>3</v>
      </c>
      <c r="D230">
        <v>6</v>
      </c>
      <c r="E230">
        <v>1</v>
      </c>
      <c r="I230">
        <v>3</v>
      </c>
      <c r="K230">
        <v>1</v>
      </c>
      <c r="L230">
        <v>1</v>
      </c>
      <c r="N230">
        <v>15</v>
      </c>
      <c r="O230" s="1">
        <v>15</v>
      </c>
      <c r="P230" s="11">
        <f t="shared" si="15"/>
        <v>1.3636363636363635</v>
      </c>
      <c r="Q230" s="11">
        <f t="shared" si="16"/>
        <v>4.5454545454545449E-2</v>
      </c>
      <c r="R230" s="19">
        <f t="shared" si="17"/>
        <v>1</v>
      </c>
      <c r="S230" s="6">
        <f t="shared" si="18"/>
        <v>1</v>
      </c>
      <c r="T230" s="5">
        <f t="shared" si="19"/>
        <v>1</v>
      </c>
    </row>
    <row r="231" spans="2:20" x14ac:dyDescent="0.25">
      <c r="B231" t="s">
        <v>108</v>
      </c>
      <c r="C231">
        <v>1</v>
      </c>
      <c r="N231">
        <v>1</v>
      </c>
      <c r="O231" s="1">
        <v>1</v>
      </c>
      <c r="P231" s="11">
        <f t="shared" si="15"/>
        <v>9.0909090909090912E-2</v>
      </c>
      <c r="Q231" s="11">
        <f t="shared" si="16"/>
        <v>3.0303030303030303E-3</v>
      </c>
      <c r="R231" s="19">
        <f t="shared" si="17"/>
        <v>1</v>
      </c>
      <c r="S231" s="6">
        <f t="shared" si="18"/>
        <v>1</v>
      </c>
      <c r="T231" s="5">
        <f t="shared" si="19"/>
        <v>1</v>
      </c>
    </row>
    <row r="232" spans="2:20" x14ac:dyDescent="0.25">
      <c r="B232" t="s">
        <v>959</v>
      </c>
      <c r="J232">
        <v>1</v>
      </c>
      <c r="N232">
        <v>1</v>
      </c>
      <c r="O232" s="1">
        <v>1</v>
      </c>
      <c r="P232" s="11">
        <f t="shared" si="15"/>
        <v>9.0909090909090912E-2</v>
      </c>
      <c r="Q232" s="11">
        <f t="shared" si="16"/>
        <v>3.0303030303030303E-3</v>
      </c>
      <c r="R232" s="19">
        <f t="shared" si="17"/>
        <v>1</v>
      </c>
      <c r="S232" s="6">
        <f t="shared" si="18"/>
        <v>1</v>
      </c>
      <c r="T232" s="5">
        <f t="shared" si="19"/>
        <v>1</v>
      </c>
    </row>
    <row r="233" spans="2:20" x14ac:dyDescent="0.25">
      <c r="B233" t="s">
        <v>662</v>
      </c>
      <c r="E233">
        <v>3</v>
      </c>
      <c r="F233">
        <v>2</v>
      </c>
      <c r="G233">
        <v>1</v>
      </c>
      <c r="K233">
        <v>2</v>
      </c>
      <c r="N233">
        <v>8</v>
      </c>
      <c r="O233" s="1">
        <v>8</v>
      </c>
      <c r="P233" s="11">
        <f t="shared" si="15"/>
        <v>0.72727272727272729</v>
      </c>
      <c r="Q233" s="11">
        <f t="shared" si="16"/>
        <v>2.4242424242424242E-2</v>
      </c>
      <c r="R233" s="19">
        <f t="shared" si="17"/>
        <v>1</v>
      </c>
      <c r="S233" s="6">
        <f t="shared" si="18"/>
        <v>1</v>
      </c>
      <c r="T233" s="5">
        <f t="shared" si="19"/>
        <v>1</v>
      </c>
    </row>
    <row r="234" spans="2:20" x14ac:dyDescent="0.25">
      <c r="B234" t="s">
        <v>109</v>
      </c>
      <c r="C234">
        <v>1</v>
      </c>
      <c r="N234">
        <v>1</v>
      </c>
      <c r="O234" s="1">
        <v>1</v>
      </c>
      <c r="P234" s="11">
        <f t="shared" si="15"/>
        <v>9.0909090909090912E-2</v>
      </c>
      <c r="Q234" s="11">
        <f t="shared" si="16"/>
        <v>3.0303030303030303E-3</v>
      </c>
      <c r="R234" s="19">
        <f t="shared" si="17"/>
        <v>1</v>
      </c>
      <c r="S234" s="6">
        <f t="shared" si="18"/>
        <v>1</v>
      </c>
      <c r="T234" s="5">
        <f t="shared" si="19"/>
        <v>1</v>
      </c>
    </row>
    <row r="235" spans="2:20" x14ac:dyDescent="0.25">
      <c r="B235" t="s">
        <v>110</v>
      </c>
      <c r="C235">
        <v>3</v>
      </c>
      <c r="E235">
        <v>1</v>
      </c>
      <c r="F235">
        <v>1</v>
      </c>
      <c r="G235">
        <v>1</v>
      </c>
      <c r="I235">
        <v>5</v>
      </c>
      <c r="J235">
        <v>2</v>
      </c>
      <c r="M235">
        <v>2</v>
      </c>
      <c r="N235">
        <v>15</v>
      </c>
      <c r="O235" s="1">
        <v>15</v>
      </c>
      <c r="P235" s="11">
        <f t="shared" si="15"/>
        <v>1.3636363636363635</v>
      </c>
      <c r="Q235" s="11">
        <f t="shared" si="16"/>
        <v>4.5454545454545449E-2</v>
      </c>
      <c r="R235" s="19">
        <f t="shared" si="17"/>
        <v>1</v>
      </c>
      <c r="S235" s="6">
        <f t="shared" si="18"/>
        <v>1</v>
      </c>
      <c r="T235" s="5">
        <f t="shared" si="19"/>
        <v>1</v>
      </c>
    </row>
    <row r="236" spans="2:20" x14ac:dyDescent="0.25">
      <c r="B236" t="s">
        <v>753</v>
      </c>
      <c r="F236">
        <v>1</v>
      </c>
      <c r="G236">
        <v>1</v>
      </c>
      <c r="H236">
        <v>2</v>
      </c>
      <c r="I236">
        <v>2</v>
      </c>
      <c r="N236">
        <v>6</v>
      </c>
      <c r="O236" s="1">
        <v>6</v>
      </c>
      <c r="P236" s="11">
        <f t="shared" si="15"/>
        <v>0.54545454545454541</v>
      </c>
      <c r="Q236" s="11">
        <f t="shared" si="16"/>
        <v>1.8181818181818181E-2</v>
      </c>
      <c r="R236" s="19">
        <f t="shared" si="17"/>
        <v>1</v>
      </c>
      <c r="S236" s="6">
        <f t="shared" si="18"/>
        <v>1</v>
      </c>
      <c r="T236" s="5">
        <f t="shared" si="19"/>
        <v>1</v>
      </c>
    </row>
    <row r="237" spans="2:20" x14ac:dyDescent="0.25">
      <c r="B237" t="s">
        <v>111</v>
      </c>
      <c r="C237">
        <v>19</v>
      </c>
      <c r="D237">
        <v>15</v>
      </c>
      <c r="E237">
        <v>27</v>
      </c>
      <c r="F237">
        <v>3</v>
      </c>
      <c r="G237">
        <v>5</v>
      </c>
      <c r="H237">
        <v>17</v>
      </c>
      <c r="I237">
        <v>9</v>
      </c>
      <c r="J237">
        <v>3</v>
      </c>
      <c r="K237">
        <v>12</v>
      </c>
      <c r="L237">
        <v>13</v>
      </c>
      <c r="M237">
        <v>7</v>
      </c>
      <c r="N237">
        <v>130</v>
      </c>
      <c r="O237" s="1">
        <v>130</v>
      </c>
      <c r="P237" s="11">
        <f t="shared" si="15"/>
        <v>11.818181818181818</v>
      </c>
      <c r="Q237" s="11">
        <f t="shared" si="16"/>
        <v>0.39393939393939392</v>
      </c>
      <c r="R237" s="19">
        <f t="shared" si="17"/>
        <v>7</v>
      </c>
      <c r="S237" s="6">
        <f t="shared" si="18"/>
        <v>5</v>
      </c>
      <c r="T237" s="5">
        <f t="shared" si="19"/>
        <v>3</v>
      </c>
    </row>
    <row r="238" spans="2:20" x14ac:dyDescent="0.25">
      <c r="B238" t="s">
        <v>530</v>
      </c>
      <c r="D238">
        <v>6</v>
      </c>
      <c r="E238">
        <v>3</v>
      </c>
      <c r="F238">
        <v>3</v>
      </c>
      <c r="G238">
        <v>6</v>
      </c>
      <c r="H238">
        <v>6</v>
      </c>
      <c r="I238">
        <v>5</v>
      </c>
      <c r="J238">
        <v>10</v>
      </c>
      <c r="K238">
        <v>9</v>
      </c>
      <c r="L238">
        <v>6</v>
      </c>
      <c r="M238">
        <v>4</v>
      </c>
      <c r="N238">
        <v>58</v>
      </c>
      <c r="O238" s="1">
        <v>58</v>
      </c>
      <c r="P238" s="11">
        <f t="shared" si="15"/>
        <v>5.2727272727272725</v>
      </c>
      <c r="Q238" s="11">
        <f t="shared" si="16"/>
        <v>0.17575757575757575</v>
      </c>
      <c r="R238" s="19">
        <f t="shared" si="17"/>
        <v>3</v>
      </c>
      <c r="S238" s="6">
        <f t="shared" si="18"/>
        <v>3</v>
      </c>
      <c r="T238" s="5">
        <f t="shared" si="19"/>
        <v>3</v>
      </c>
    </row>
    <row r="239" spans="2:20" x14ac:dyDescent="0.25">
      <c r="B239" t="s">
        <v>112</v>
      </c>
      <c r="C239">
        <v>22</v>
      </c>
      <c r="F239">
        <v>14</v>
      </c>
      <c r="G239">
        <v>0</v>
      </c>
      <c r="H239">
        <v>23</v>
      </c>
      <c r="I239">
        <v>11</v>
      </c>
      <c r="K239">
        <v>11</v>
      </c>
      <c r="L239">
        <v>39</v>
      </c>
      <c r="M239">
        <v>3</v>
      </c>
      <c r="N239">
        <v>123</v>
      </c>
      <c r="O239" s="1">
        <v>123</v>
      </c>
      <c r="P239" s="11">
        <f t="shared" si="15"/>
        <v>11.181818181818182</v>
      </c>
      <c r="Q239" s="11">
        <f t="shared" si="16"/>
        <v>0.37272727272727274</v>
      </c>
      <c r="R239" s="19">
        <f t="shared" si="17"/>
        <v>7</v>
      </c>
      <c r="S239" s="6">
        <f t="shared" si="18"/>
        <v>5</v>
      </c>
      <c r="T239" s="5">
        <f t="shared" si="19"/>
        <v>3</v>
      </c>
    </row>
    <row r="240" spans="2:20" x14ac:dyDescent="0.25">
      <c r="B240" t="s">
        <v>1084</v>
      </c>
      <c r="M240">
        <v>1</v>
      </c>
      <c r="N240">
        <v>1</v>
      </c>
      <c r="O240" s="1">
        <v>1</v>
      </c>
      <c r="P240" s="11">
        <f t="shared" si="15"/>
        <v>9.0909090909090912E-2</v>
      </c>
      <c r="Q240" s="11">
        <f t="shared" si="16"/>
        <v>3.0303030303030303E-3</v>
      </c>
      <c r="R240" s="19">
        <f t="shared" si="17"/>
        <v>1</v>
      </c>
      <c r="S240" s="6">
        <f t="shared" si="18"/>
        <v>1</v>
      </c>
      <c r="T240" s="5">
        <f t="shared" si="19"/>
        <v>1</v>
      </c>
    </row>
    <row r="241" spans="2:20" x14ac:dyDescent="0.25">
      <c r="B241" t="s">
        <v>867</v>
      </c>
      <c r="H241">
        <v>1</v>
      </c>
      <c r="I241">
        <v>1</v>
      </c>
      <c r="K241">
        <v>1</v>
      </c>
      <c r="M241">
        <v>1</v>
      </c>
      <c r="N241">
        <v>4</v>
      </c>
      <c r="O241" s="1">
        <v>4</v>
      </c>
      <c r="P241" s="11">
        <f t="shared" si="15"/>
        <v>0.36363636363636365</v>
      </c>
      <c r="Q241" s="11">
        <f t="shared" si="16"/>
        <v>1.2121212121212121E-2</v>
      </c>
      <c r="R241" s="19">
        <f t="shared" si="17"/>
        <v>1</v>
      </c>
      <c r="S241" s="6">
        <f t="shared" si="18"/>
        <v>1</v>
      </c>
      <c r="T241" s="5">
        <f t="shared" si="19"/>
        <v>1</v>
      </c>
    </row>
    <row r="242" spans="2:20" x14ac:dyDescent="0.25">
      <c r="B242" t="s">
        <v>113</v>
      </c>
      <c r="C242">
        <v>489</v>
      </c>
      <c r="D242">
        <v>348</v>
      </c>
      <c r="G242">
        <v>185</v>
      </c>
      <c r="H242">
        <v>2</v>
      </c>
      <c r="L242">
        <v>2</v>
      </c>
      <c r="N242">
        <v>1026</v>
      </c>
      <c r="O242" s="1">
        <v>1026</v>
      </c>
      <c r="P242" s="11">
        <f t="shared" si="15"/>
        <v>93.272727272727266</v>
      </c>
      <c r="Q242" s="11">
        <f t="shared" si="16"/>
        <v>3.1090909090909089</v>
      </c>
      <c r="R242" s="19">
        <f t="shared" si="17"/>
        <v>45</v>
      </c>
      <c r="S242" s="6">
        <f t="shared" si="18"/>
        <v>33</v>
      </c>
      <c r="T242" s="5">
        <f t="shared" si="19"/>
        <v>23</v>
      </c>
    </row>
    <row r="243" spans="2:20" x14ac:dyDescent="0.25">
      <c r="B243" t="s">
        <v>1046</v>
      </c>
      <c r="L243">
        <v>1</v>
      </c>
      <c r="N243">
        <v>1</v>
      </c>
      <c r="O243" s="1">
        <v>1</v>
      </c>
      <c r="P243" s="11">
        <f t="shared" si="15"/>
        <v>9.0909090909090912E-2</v>
      </c>
      <c r="Q243" s="11">
        <f t="shared" si="16"/>
        <v>3.0303030303030303E-3</v>
      </c>
      <c r="R243" s="19">
        <f t="shared" si="17"/>
        <v>1</v>
      </c>
      <c r="S243" s="6">
        <f t="shared" si="18"/>
        <v>1</v>
      </c>
      <c r="T243" s="5">
        <f t="shared" si="19"/>
        <v>1</v>
      </c>
    </row>
    <row r="244" spans="2:20" x14ac:dyDescent="0.25">
      <c r="B244" t="s">
        <v>663</v>
      </c>
      <c r="E244">
        <v>2</v>
      </c>
      <c r="G244">
        <v>1</v>
      </c>
      <c r="K244">
        <v>1</v>
      </c>
      <c r="L244">
        <v>1</v>
      </c>
      <c r="N244">
        <v>5</v>
      </c>
      <c r="O244" s="1">
        <v>5</v>
      </c>
      <c r="P244" s="11">
        <f t="shared" si="15"/>
        <v>0.45454545454545453</v>
      </c>
      <c r="Q244" s="11">
        <f t="shared" si="16"/>
        <v>1.515151515151515E-2</v>
      </c>
      <c r="R244" s="19">
        <f t="shared" si="17"/>
        <v>1</v>
      </c>
      <c r="S244" s="6">
        <f t="shared" si="18"/>
        <v>1</v>
      </c>
      <c r="T244" s="5">
        <f t="shared" si="19"/>
        <v>1</v>
      </c>
    </row>
    <row r="245" spans="2:20" x14ac:dyDescent="0.25">
      <c r="B245" t="s">
        <v>531</v>
      </c>
      <c r="D245">
        <v>0</v>
      </c>
      <c r="E245">
        <v>1</v>
      </c>
      <c r="G245">
        <v>2</v>
      </c>
      <c r="H245">
        <v>1</v>
      </c>
      <c r="I245">
        <v>1</v>
      </c>
      <c r="J245">
        <v>0</v>
      </c>
      <c r="L245">
        <v>3</v>
      </c>
      <c r="N245">
        <v>8</v>
      </c>
      <c r="O245" s="1">
        <v>8</v>
      </c>
      <c r="P245" s="11">
        <f t="shared" si="15"/>
        <v>0.72727272727272729</v>
      </c>
      <c r="Q245" s="11">
        <f t="shared" si="16"/>
        <v>2.4242424242424242E-2</v>
      </c>
      <c r="R245" s="19">
        <f t="shared" si="17"/>
        <v>1</v>
      </c>
      <c r="S245" s="6">
        <f t="shared" si="18"/>
        <v>1</v>
      </c>
      <c r="T245" s="5">
        <f t="shared" si="19"/>
        <v>1</v>
      </c>
    </row>
    <row r="246" spans="2:20" x14ac:dyDescent="0.25">
      <c r="B246" t="s">
        <v>532</v>
      </c>
      <c r="D246">
        <v>1</v>
      </c>
      <c r="E246">
        <v>1</v>
      </c>
      <c r="G246">
        <v>1</v>
      </c>
      <c r="H246">
        <v>1</v>
      </c>
      <c r="N246">
        <v>4</v>
      </c>
      <c r="O246" s="1">
        <v>4</v>
      </c>
      <c r="P246" s="11">
        <f t="shared" si="15"/>
        <v>0.36363636363636365</v>
      </c>
      <c r="Q246" s="11">
        <f t="shared" si="16"/>
        <v>1.2121212121212121E-2</v>
      </c>
      <c r="R246" s="19">
        <f t="shared" si="17"/>
        <v>1</v>
      </c>
      <c r="S246" s="6">
        <f t="shared" si="18"/>
        <v>1</v>
      </c>
      <c r="T246" s="5">
        <f t="shared" si="19"/>
        <v>1</v>
      </c>
    </row>
    <row r="247" spans="2:20" x14ac:dyDescent="0.25">
      <c r="B247" t="s">
        <v>533</v>
      </c>
      <c r="D247">
        <v>1</v>
      </c>
      <c r="E247">
        <v>1</v>
      </c>
      <c r="L247">
        <v>1</v>
      </c>
      <c r="N247">
        <v>3</v>
      </c>
      <c r="O247" s="1">
        <v>3</v>
      </c>
      <c r="P247" s="11">
        <f t="shared" si="15"/>
        <v>0.27272727272727271</v>
      </c>
      <c r="Q247" s="11">
        <f t="shared" si="16"/>
        <v>9.0909090909090905E-3</v>
      </c>
      <c r="R247" s="19">
        <f t="shared" si="17"/>
        <v>1</v>
      </c>
      <c r="S247" s="6">
        <f t="shared" si="18"/>
        <v>1</v>
      </c>
      <c r="T247" s="5">
        <f t="shared" si="19"/>
        <v>1</v>
      </c>
    </row>
    <row r="248" spans="2:20" x14ac:dyDescent="0.25">
      <c r="B248" t="s">
        <v>664</v>
      </c>
      <c r="E248">
        <v>2</v>
      </c>
      <c r="H248">
        <v>1</v>
      </c>
      <c r="N248">
        <v>3</v>
      </c>
      <c r="O248" s="1">
        <v>3</v>
      </c>
      <c r="P248" s="11">
        <f t="shared" si="15"/>
        <v>0.27272727272727271</v>
      </c>
      <c r="Q248" s="11">
        <f t="shared" si="16"/>
        <v>9.0909090909090905E-3</v>
      </c>
      <c r="R248" s="19">
        <f t="shared" si="17"/>
        <v>1</v>
      </c>
      <c r="S248" s="6">
        <f t="shared" si="18"/>
        <v>1</v>
      </c>
      <c r="T248" s="5">
        <f t="shared" si="19"/>
        <v>1</v>
      </c>
    </row>
    <row r="249" spans="2:20" x14ac:dyDescent="0.25">
      <c r="B249" t="s">
        <v>114</v>
      </c>
      <c r="C249">
        <v>12</v>
      </c>
      <c r="D249">
        <v>4</v>
      </c>
      <c r="E249">
        <v>5</v>
      </c>
      <c r="F249">
        <v>1</v>
      </c>
      <c r="H249">
        <v>6</v>
      </c>
      <c r="I249">
        <v>4</v>
      </c>
      <c r="J249">
        <v>3</v>
      </c>
      <c r="K249">
        <v>3</v>
      </c>
      <c r="L249">
        <v>1</v>
      </c>
      <c r="M249">
        <v>4</v>
      </c>
      <c r="N249">
        <v>43</v>
      </c>
      <c r="O249" s="1">
        <v>43</v>
      </c>
      <c r="P249" s="11">
        <f t="shared" si="15"/>
        <v>3.9090909090909092</v>
      </c>
      <c r="Q249" s="11">
        <f t="shared" si="16"/>
        <v>0.13030303030303031</v>
      </c>
      <c r="R249" s="19">
        <f t="shared" si="17"/>
        <v>3</v>
      </c>
      <c r="S249" s="6">
        <f t="shared" si="18"/>
        <v>3</v>
      </c>
      <c r="T249" s="5">
        <f t="shared" si="19"/>
        <v>1</v>
      </c>
    </row>
    <row r="250" spans="2:20" x14ac:dyDescent="0.25">
      <c r="B250" t="s">
        <v>115</v>
      </c>
      <c r="C250">
        <v>3</v>
      </c>
      <c r="D250">
        <v>7</v>
      </c>
      <c r="E250">
        <v>4</v>
      </c>
      <c r="F250">
        <v>1</v>
      </c>
      <c r="G250">
        <v>7</v>
      </c>
      <c r="H250">
        <v>7</v>
      </c>
      <c r="I250">
        <v>9</v>
      </c>
      <c r="K250">
        <v>6</v>
      </c>
      <c r="L250">
        <v>1</v>
      </c>
      <c r="M250">
        <v>3</v>
      </c>
      <c r="N250">
        <v>48</v>
      </c>
      <c r="O250" s="1">
        <v>48</v>
      </c>
      <c r="P250" s="11">
        <f t="shared" si="15"/>
        <v>4.3636363636363633</v>
      </c>
      <c r="Q250" s="11">
        <f t="shared" si="16"/>
        <v>0.14545454545454545</v>
      </c>
      <c r="R250" s="19">
        <f t="shared" si="17"/>
        <v>3</v>
      </c>
      <c r="S250" s="6">
        <f t="shared" si="18"/>
        <v>3</v>
      </c>
      <c r="T250" s="5">
        <f t="shared" si="19"/>
        <v>3</v>
      </c>
    </row>
    <row r="251" spans="2:20" x14ac:dyDescent="0.25">
      <c r="B251" t="s">
        <v>819</v>
      </c>
      <c r="G251">
        <v>1</v>
      </c>
      <c r="N251">
        <v>1</v>
      </c>
      <c r="O251" s="1">
        <v>1</v>
      </c>
      <c r="P251" s="11">
        <f t="shared" si="15"/>
        <v>9.0909090909090912E-2</v>
      </c>
      <c r="Q251" s="11">
        <f t="shared" si="16"/>
        <v>3.0303030303030303E-3</v>
      </c>
      <c r="R251" s="19">
        <f t="shared" si="17"/>
        <v>1</v>
      </c>
      <c r="S251" s="6">
        <f t="shared" si="18"/>
        <v>1</v>
      </c>
      <c r="T251" s="5">
        <f t="shared" si="19"/>
        <v>1</v>
      </c>
    </row>
    <row r="252" spans="2:20" x14ac:dyDescent="0.25">
      <c r="B252" t="s">
        <v>868</v>
      </c>
      <c r="H252">
        <v>3</v>
      </c>
      <c r="N252">
        <v>3</v>
      </c>
      <c r="O252" s="1">
        <v>3</v>
      </c>
      <c r="P252" s="11">
        <f t="shared" si="15"/>
        <v>0.27272727272727271</v>
      </c>
      <c r="Q252" s="11">
        <f t="shared" si="16"/>
        <v>9.0909090909090905E-3</v>
      </c>
      <c r="R252" s="19">
        <f t="shared" si="17"/>
        <v>1</v>
      </c>
      <c r="S252" s="6">
        <f t="shared" si="18"/>
        <v>1</v>
      </c>
      <c r="T252" s="5">
        <f t="shared" si="19"/>
        <v>1</v>
      </c>
    </row>
    <row r="253" spans="2:20" x14ac:dyDescent="0.25">
      <c r="B253" t="s">
        <v>116</v>
      </c>
      <c r="C253">
        <v>41</v>
      </c>
      <c r="D253">
        <v>24</v>
      </c>
      <c r="E253">
        <v>27</v>
      </c>
      <c r="F253">
        <v>26</v>
      </c>
      <c r="G253">
        <v>29</v>
      </c>
      <c r="H253">
        <v>56</v>
      </c>
      <c r="I253">
        <v>17</v>
      </c>
      <c r="J253">
        <v>51</v>
      </c>
      <c r="K253">
        <v>18</v>
      </c>
      <c r="L253">
        <v>42</v>
      </c>
      <c r="M253">
        <v>15</v>
      </c>
      <c r="N253">
        <v>346</v>
      </c>
      <c r="O253" s="1">
        <v>346</v>
      </c>
      <c r="P253" s="11">
        <f t="shared" si="15"/>
        <v>31.454545454545453</v>
      </c>
      <c r="Q253" s="11">
        <f t="shared" si="16"/>
        <v>1.0484848484848484</v>
      </c>
      <c r="R253" s="19">
        <f t="shared" si="17"/>
        <v>15</v>
      </c>
      <c r="S253" s="6">
        <f t="shared" si="18"/>
        <v>13</v>
      </c>
      <c r="T253" s="5">
        <f t="shared" si="19"/>
        <v>9</v>
      </c>
    </row>
    <row r="254" spans="2:20" x14ac:dyDescent="0.25">
      <c r="B254" t="s">
        <v>117</v>
      </c>
      <c r="C254">
        <v>2</v>
      </c>
      <c r="D254">
        <v>5</v>
      </c>
      <c r="E254">
        <v>1</v>
      </c>
      <c r="G254">
        <v>3</v>
      </c>
      <c r="H254">
        <v>4</v>
      </c>
      <c r="I254">
        <v>3</v>
      </c>
      <c r="J254">
        <v>2</v>
      </c>
      <c r="K254">
        <v>2</v>
      </c>
      <c r="L254">
        <v>7</v>
      </c>
      <c r="M254">
        <v>6</v>
      </c>
      <c r="N254">
        <v>35</v>
      </c>
      <c r="O254" s="1">
        <v>35</v>
      </c>
      <c r="P254" s="11">
        <f t="shared" si="15"/>
        <v>3.1818181818181817</v>
      </c>
      <c r="Q254" s="11">
        <f t="shared" si="16"/>
        <v>0.10606060606060605</v>
      </c>
      <c r="R254" s="19">
        <f t="shared" si="17"/>
        <v>3</v>
      </c>
      <c r="S254" s="6">
        <f t="shared" si="18"/>
        <v>3</v>
      </c>
      <c r="T254" s="5">
        <f t="shared" si="19"/>
        <v>1</v>
      </c>
    </row>
    <row r="255" spans="2:20" x14ac:dyDescent="0.25">
      <c r="B255" t="s">
        <v>118</v>
      </c>
      <c r="C255">
        <v>1</v>
      </c>
      <c r="N255">
        <v>1</v>
      </c>
      <c r="O255" s="1">
        <v>1</v>
      </c>
      <c r="P255" s="11">
        <f t="shared" si="15"/>
        <v>9.0909090909090912E-2</v>
      </c>
      <c r="Q255" s="11">
        <f t="shared" si="16"/>
        <v>3.0303030303030303E-3</v>
      </c>
      <c r="R255" s="19">
        <f t="shared" si="17"/>
        <v>1</v>
      </c>
      <c r="S255" s="6">
        <f t="shared" si="18"/>
        <v>1</v>
      </c>
      <c r="T255" s="5">
        <f t="shared" si="19"/>
        <v>1</v>
      </c>
    </row>
    <row r="256" spans="2:20" x14ac:dyDescent="0.25">
      <c r="B256" t="s">
        <v>119</v>
      </c>
      <c r="C256">
        <v>7</v>
      </c>
      <c r="D256">
        <v>9</v>
      </c>
      <c r="E256">
        <v>7</v>
      </c>
      <c r="F256">
        <v>4</v>
      </c>
      <c r="G256">
        <v>3</v>
      </c>
      <c r="H256">
        <v>14</v>
      </c>
      <c r="I256">
        <v>4</v>
      </c>
      <c r="J256">
        <v>4</v>
      </c>
      <c r="K256">
        <v>8</v>
      </c>
      <c r="L256">
        <v>6</v>
      </c>
      <c r="M256">
        <v>6</v>
      </c>
      <c r="N256">
        <v>72</v>
      </c>
      <c r="O256" s="1">
        <v>72</v>
      </c>
      <c r="P256" s="11">
        <f t="shared" si="15"/>
        <v>6.5454545454545459</v>
      </c>
      <c r="Q256" s="11">
        <f t="shared" si="16"/>
        <v>0.2181818181818182</v>
      </c>
      <c r="R256" s="19">
        <f t="shared" si="17"/>
        <v>5</v>
      </c>
      <c r="S256" s="6">
        <f t="shared" si="18"/>
        <v>3</v>
      </c>
      <c r="T256" s="5">
        <f t="shared" si="19"/>
        <v>3</v>
      </c>
    </row>
    <row r="257" spans="2:20" x14ac:dyDescent="0.25">
      <c r="B257" t="s">
        <v>869</v>
      </c>
      <c r="H257">
        <v>1</v>
      </c>
      <c r="N257">
        <v>1</v>
      </c>
      <c r="O257" s="1">
        <v>1</v>
      </c>
      <c r="P257" s="11">
        <f t="shared" si="15"/>
        <v>9.0909090909090912E-2</v>
      </c>
      <c r="Q257" s="11">
        <f t="shared" si="16"/>
        <v>3.0303030303030303E-3</v>
      </c>
      <c r="R257" s="19">
        <f t="shared" si="17"/>
        <v>1</v>
      </c>
      <c r="S257" s="6">
        <f t="shared" si="18"/>
        <v>1</v>
      </c>
      <c r="T257" s="5">
        <f t="shared" si="19"/>
        <v>1</v>
      </c>
    </row>
    <row r="258" spans="2:20" x14ac:dyDescent="0.25">
      <c r="B258" t="s">
        <v>665</v>
      </c>
      <c r="E258">
        <v>2</v>
      </c>
      <c r="F258">
        <v>3</v>
      </c>
      <c r="N258">
        <v>5</v>
      </c>
      <c r="O258" s="1">
        <v>5</v>
      </c>
      <c r="P258" s="11">
        <f t="shared" si="15"/>
        <v>0.45454545454545453</v>
      </c>
      <c r="Q258" s="11">
        <f t="shared" si="16"/>
        <v>1.515151515151515E-2</v>
      </c>
      <c r="R258" s="19">
        <f t="shared" si="17"/>
        <v>1</v>
      </c>
      <c r="S258" s="6">
        <f t="shared" si="18"/>
        <v>1</v>
      </c>
      <c r="T258" s="5">
        <f t="shared" si="19"/>
        <v>1</v>
      </c>
    </row>
    <row r="259" spans="2:20" x14ac:dyDescent="0.25">
      <c r="B259" t="s">
        <v>120</v>
      </c>
      <c r="C259">
        <v>1</v>
      </c>
      <c r="G259">
        <v>2</v>
      </c>
      <c r="H259">
        <v>4</v>
      </c>
      <c r="I259">
        <v>1</v>
      </c>
      <c r="J259">
        <v>3</v>
      </c>
      <c r="K259">
        <v>2</v>
      </c>
      <c r="L259">
        <v>2</v>
      </c>
      <c r="M259">
        <v>2</v>
      </c>
      <c r="N259">
        <v>17</v>
      </c>
      <c r="O259" s="1">
        <v>17</v>
      </c>
      <c r="P259" s="11">
        <f t="shared" si="15"/>
        <v>1.5454545454545454</v>
      </c>
      <c r="Q259" s="11">
        <f t="shared" si="16"/>
        <v>5.1515151515151514E-2</v>
      </c>
      <c r="R259" s="19">
        <f t="shared" si="17"/>
        <v>1</v>
      </c>
      <c r="S259" s="6">
        <f t="shared" si="18"/>
        <v>1</v>
      </c>
      <c r="T259" s="5">
        <f t="shared" si="19"/>
        <v>1</v>
      </c>
    </row>
    <row r="260" spans="2:20" x14ac:dyDescent="0.25">
      <c r="B260" t="s">
        <v>923</v>
      </c>
      <c r="I260">
        <v>3</v>
      </c>
      <c r="J260">
        <v>3</v>
      </c>
      <c r="K260">
        <v>2</v>
      </c>
      <c r="L260">
        <v>0</v>
      </c>
      <c r="M260">
        <v>3</v>
      </c>
      <c r="N260">
        <v>11</v>
      </c>
      <c r="O260" s="1">
        <v>11</v>
      </c>
      <c r="P260" s="11">
        <f t="shared" si="15"/>
        <v>1</v>
      </c>
      <c r="Q260" s="11">
        <f t="shared" si="16"/>
        <v>3.3333333333333333E-2</v>
      </c>
      <c r="R260" s="19">
        <f t="shared" si="17"/>
        <v>1</v>
      </c>
      <c r="S260" s="6">
        <f t="shared" si="18"/>
        <v>1</v>
      </c>
      <c r="T260" s="5">
        <f t="shared" si="19"/>
        <v>1</v>
      </c>
    </row>
    <row r="261" spans="2:20" x14ac:dyDescent="0.25">
      <c r="B261" t="s">
        <v>121</v>
      </c>
      <c r="C261">
        <v>1</v>
      </c>
      <c r="E261">
        <v>1</v>
      </c>
      <c r="F261">
        <v>3</v>
      </c>
      <c r="J261">
        <v>1</v>
      </c>
      <c r="L261">
        <v>1</v>
      </c>
      <c r="N261">
        <v>7</v>
      </c>
      <c r="O261" s="1">
        <v>7</v>
      </c>
      <c r="P261" s="11">
        <f t="shared" si="15"/>
        <v>0.63636363636363635</v>
      </c>
      <c r="Q261" s="11">
        <f t="shared" si="16"/>
        <v>2.1212121212121213E-2</v>
      </c>
      <c r="R261" s="19">
        <f t="shared" si="17"/>
        <v>1</v>
      </c>
      <c r="S261" s="6">
        <f t="shared" si="18"/>
        <v>1</v>
      </c>
      <c r="T261" s="5">
        <f t="shared" si="19"/>
        <v>1</v>
      </c>
    </row>
    <row r="262" spans="2:20" x14ac:dyDescent="0.25">
      <c r="B262" t="s">
        <v>122</v>
      </c>
      <c r="C262">
        <v>130</v>
      </c>
      <c r="D262">
        <v>87</v>
      </c>
      <c r="E262">
        <v>108</v>
      </c>
      <c r="F262">
        <v>80</v>
      </c>
      <c r="G262">
        <v>60</v>
      </c>
      <c r="H262">
        <v>122</v>
      </c>
      <c r="I262">
        <v>95</v>
      </c>
      <c r="J262">
        <v>82</v>
      </c>
      <c r="K262">
        <v>128</v>
      </c>
      <c r="L262">
        <v>152</v>
      </c>
      <c r="M262">
        <v>99</v>
      </c>
      <c r="N262">
        <v>1143</v>
      </c>
      <c r="O262" s="1">
        <v>1143</v>
      </c>
      <c r="P262" s="11">
        <f t="shared" ref="P262:P325" si="20">O262/11</f>
        <v>103.90909090909091</v>
      </c>
      <c r="Q262" s="11">
        <f t="shared" si="16"/>
        <v>3.4636363636363634</v>
      </c>
      <c r="R262" s="19">
        <f t="shared" si="17"/>
        <v>49</v>
      </c>
      <c r="S262" s="6">
        <f t="shared" si="18"/>
        <v>37</v>
      </c>
      <c r="T262" s="5">
        <f t="shared" si="19"/>
        <v>25</v>
      </c>
    </row>
    <row r="263" spans="2:20" x14ac:dyDescent="0.25">
      <c r="B263" t="s">
        <v>534</v>
      </c>
      <c r="D263">
        <v>12</v>
      </c>
      <c r="E263">
        <v>1</v>
      </c>
      <c r="F263">
        <v>3</v>
      </c>
      <c r="G263">
        <v>12</v>
      </c>
      <c r="H263">
        <v>13</v>
      </c>
      <c r="I263">
        <v>24</v>
      </c>
      <c r="J263">
        <v>1</v>
      </c>
      <c r="L263">
        <v>10</v>
      </c>
      <c r="M263">
        <v>97</v>
      </c>
      <c r="N263">
        <v>173</v>
      </c>
      <c r="O263" s="1">
        <v>173</v>
      </c>
      <c r="P263" s="11">
        <f t="shared" si="20"/>
        <v>15.727272727272727</v>
      </c>
      <c r="Q263" s="11">
        <f t="shared" ref="Q263:Q326" si="21">P263/30</f>
        <v>0.52424242424242418</v>
      </c>
      <c r="R263" s="19">
        <f t="shared" ref="R263:R326" si="22">ODD(Q263*14)</f>
        <v>9</v>
      </c>
      <c r="S263" s="6">
        <f t="shared" ref="S263:S326" si="23">ODD(Q263*10.5)</f>
        <v>7</v>
      </c>
      <c r="T263" s="5">
        <f t="shared" ref="T263:T326" si="24">ODD(Q263*7)</f>
        <v>5</v>
      </c>
    </row>
    <row r="264" spans="2:20" x14ac:dyDescent="0.25">
      <c r="B264" t="s">
        <v>870</v>
      </c>
      <c r="H264">
        <v>1</v>
      </c>
      <c r="N264">
        <v>1</v>
      </c>
      <c r="O264" s="1">
        <v>1</v>
      </c>
      <c r="P264" s="11">
        <f t="shared" si="20"/>
        <v>9.0909090909090912E-2</v>
      </c>
      <c r="Q264" s="11">
        <f t="shared" si="21"/>
        <v>3.0303030303030303E-3</v>
      </c>
      <c r="R264" s="19">
        <f t="shared" si="22"/>
        <v>1</v>
      </c>
      <c r="S264" s="6">
        <f t="shared" si="23"/>
        <v>1</v>
      </c>
      <c r="T264" s="5">
        <f t="shared" si="24"/>
        <v>1</v>
      </c>
    </row>
    <row r="265" spans="2:20" x14ac:dyDescent="0.25">
      <c r="B265" t="s">
        <v>123</v>
      </c>
      <c r="C265">
        <v>1</v>
      </c>
      <c r="G265">
        <v>1</v>
      </c>
      <c r="K265">
        <v>1</v>
      </c>
      <c r="N265">
        <v>3</v>
      </c>
      <c r="O265" s="1">
        <v>3</v>
      </c>
      <c r="P265" s="11">
        <f t="shared" si="20"/>
        <v>0.27272727272727271</v>
      </c>
      <c r="Q265" s="11">
        <f t="shared" si="21"/>
        <v>9.0909090909090905E-3</v>
      </c>
      <c r="R265" s="19">
        <f t="shared" si="22"/>
        <v>1</v>
      </c>
      <c r="S265" s="6">
        <f t="shared" si="23"/>
        <v>1</v>
      </c>
      <c r="T265" s="5">
        <f t="shared" si="24"/>
        <v>1</v>
      </c>
    </row>
    <row r="266" spans="2:20" x14ac:dyDescent="0.25">
      <c r="B266" t="s">
        <v>1085</v>
      </c>
      <c r="M266">
        <v>1</v>
      </c>
      <c r="N266">
        <v>1</v>
      </c>
      <c r="O266" s="1">
        <v>1</v>
      </c>
      <c r="P266" s="11">
        <f t="shared" si="20"/>
        <v>9.0909090909090912E-2</v>
      </c>
      <c r="Q266" s="11">
        <f t="shared" si="21"/>
        <v>3.0303030303030303E-3</v>
      </c>
      <c r="R266" s="19">
        <f t="shared" si="22"/>
        <v>1</v>
      </c>
      <c r="S266" s="6">
        <f t="shared" si="23"/>
        <v>1</v>
      </c>
      <c r="T266" s="5">
        <f t="shared" si="24"/>
        <v>1</v>
      </c>
    </row>
    <row r="267" spans="2:20" x14ac:dyDescent="0.25">
      <c r="B267" t="s">
        <v>124</v>
      </c>
      <c r="C267">
        <v>16</v>
      </c>
      <c r="D267">
        <v>3</v>
      </c>
      <c r="G267">
        <v>13</v>
      </c>
      <c r="H267">
        <v>10</v>
      </c>
      <c r="L267">
        <v>15</v>
      </c>
      <c r="M267">
        <v>22</v>
      </c>
      <c r="N267">
        <v>79</v>
      </c>
      <c r="O267" s="1">
        <v>79</v>
      </c>
      <c r="P267" s="11">
        <f t="shared" si="20"/>
        <v>7.1818181818181817</v>
      </c>
      <c r="Q267" s="11">
        <f t="shared" si="21"/>
        <v>0.23939393939393938</v>
      </c>
      <c r="R267" s="19">
        <f t="shared" si="22"/>
        <v>5</v>
      </c>
      <c r="S267" s="6">
        <f t="shared" si="23"/>
        <v>3</v>
      </c>
      <c r="T267" s="5">
        <f t="shared" si="24"/>
        <v>3</v>
      </c>
    </row>
    <row r="268" spans="2:20" x14ac:dyDescent="0.25">
      <c r="B268" t="s">
        <v>924</v>
      </c>
      <c r="I268">
        <v>1</v>
      </c>
      <c r="L268">
        <v>1</v>
      </c>
      <c r="M268">
        <v>2</v>
      </c>
      <c r="N268">
        <v>4</v>
      </c>
      <c r="O268" s="1">
        <v>4</v>
      </c>
      <c r="P268" s="11">
        <f t="shared" si="20"/>
        <v>0.36363636363636365</v>
      </c>
      <c r="Q268" s="11">
        <f t="shared" si="21"/>
        <v>1.2121212121212121E-2</v>
      </c>
      <c r="R268" s="19">
        <f t="shared" si="22"/>
        <v>1</v>
      </c>
      <c r="S268" s="6">
        <f t="shared" si="23"/>
        <v>1</v>
      </c>
      <c r="T268" s="5">
        <f t="shared" si="24"/>
        <v>1</v>
      </c>
    </row>
    <row r="269" spans="2:20" x14ac:dyDescent="0.25">
      <c r="B269" t="s">
        <v>960</v>
      </c>
      <c r="J269">
        <v>1</v>
      </c>
      <c r="N269">
        <v>1</v>
      </c>
      <c r="O269" s="1">
        <v>1</v>
      </c>
      <c r="P269" s="11">
        <f t="shared" si="20"/>
        <v>9.0909090909090912E-2</v>
      </c>
      <c r="Q269" s="11">
        <f t="shared" si="21"/>
        <v>3.0303030303030303E-3</v>
      </c>
      <c r="R269" s="19">
        <f t="shared" si="22"/>
        <v>1</v>
      </c>
      <c r="S269" s="6">
        <f t="shared" si="23"/>
        <v>1</v>
      </c>
      <c r="T269" s="5">
        <f t="shared" si="24"/>
        <v>1</v>
      </c>
    </row>
    <row r="270" spans="2:20" x14ac:dyDescent="0.25">
      <c r="B270" t="s">
        <v>125</v>
      </c>
      <c r="C270">
        <v>3</v>
      </c>
      <c r="E270">
        <v>1</v>
      </c>
      <c r="F270">
        <v>1</v>
      </c>
      <c r="I270">
        <v>1</v>
      </c>
      <c r="J270">
        <v>5</v>
      </c>
      <c r="K270">
        <v>2</v>
      </c>
      <c r="L270">
        <v>1</v>
      </c>
      <c r="M270">
        <v>1</v>
      </c>
      <c r="N270">
        <v>15</v>
      </c>
      <c r="O270" s="1">
        <v>15</v>
      </c>
      <c r="P270" s="11">
        <f t="shared" si="20"/>
        <v>1.3636363636363635</v>
      </c>
      <c r="Q270" s="11">
        <f t="shared" si="21"/>
        <v>4.5454545454545449E-2</v>
      </c>
      <c r="R270" s="19">
        <f t="shared" si="22"/>
        <v>1</v>
      </c>
      <c r="S270" s="6">
        <f t="shared" si="23"/>
        <v>1</v>
      </c>
      <c r="T270" s="5">
        <f t="shared" si="24"/>
        <v>1</v>
      </c>
    </row>
    <row r="271" spans="2:20" x14ac:dyDescent="0.25">
      <c r="B271" t="s">
        <v>666</v>
      </c>
      <c r="E271">
        <v>1</v>
      </c>
      <c r="G271">
        <v>1</v>
      </c>
      <c r="L271">
        <v>1</v>
      </c>
      <c r="M271">
        <v>2</v>
      </c>
      <c r="N271">
        <v>5</v>
      </c>
      <c r="O271" s="1">
        <v>5</v>
      </c>
      <c r="P271" s="11">
        <f t="shared" si="20"/>
        <v>0.45454545454545453</v>
      </c>
      <c r="Q271" s="11">
        <f t="shared" si="21"/>
        <v>1.515151515151515E-2</v>
      </c>
      <c r="R271" s="19">
        <f t="shared" si="22"/>
        <v>1</v>
      </c>
      <c r="S271" s="6">
        <f t="shared" si="23"/>
        <v>1</v>
      </c>
      <c r="T271" s="5">
        <f t="shared" si="24"/>
        <v>1</v>
      </c>
    </row>
    <row r="272" spans="2:20" x14ac:dyDescent="0.25">
      <c r="B272" t="s">
        <v>535</v>
      </c>
      <c r="D272">
        <v>1</v>
      </c>
      <c r="E272">
        <v>2</v>
      </c>
      <c r="G272">
        <v>2</v>
      </c>
      <c r="H272">
        <v>1</v>
      </c>
      <c r="I272">
        <v>2</v>
      </c>
      <c r="J272">
        <v>4</v>
      </c>
      <c r="K272">
        <v>2</v>
      </c>
      <c r="L272">
        <v>3</v>
      </c>
      <c r="N272">
        <v>17</v>
      </c>
      <c r="O272" s="1">
        <v>17</v>
      </c>
      <c r="P272" s="11">
        <f t="shared" si="20"/>
        <v>1.5454545454545454</v>
      </c>
      <c r="Q272" s="11">
        <f t="shared" si="21"/>
        <v>5.1515151515151514E-2</v>
      </c>
      <c r="R272" s="19">
        <f t="shared" si="22"/>
        <v>1</v>
      </c>
      <c r="S272" s="6">
        <f t="shared" si="23"/>
        <v>1</v>
      </c>
      <c r="T272" s="5">
        <f t="shared" si="24"/>
        <v>1</v>
      </c>
    </row>
    <row r="273" spans="2:20" x14ac:dyDescent="0.25">
      <c r="B273" t="s">
        <v>126</v>
      </c>
      <c r="C273">
        <v>1</v>
      </c>
      <c r="D273">
        <v>1</v>
      </c>
      <c r="I273">
        <v>1</v>
      </c>
      <c r="J273">
        <v>1</v>
      </c>
      <c r="M273">
        <v>1</v>
      </c>
      <c r="N273">
        <v>5</v>
      </c>
      <c r="O273" s="1">
        <v>5</v>
      </c>
      <c r="P273" s="11">
        <f t="shared" si="20"/>
        <v>0.45454545454545453</v>
      </c>
      <c r="Q273" s="11">
        <f t="shared" si="21"/>
        <v>1.515151515151515E-2</v>
      </c>
      <c r="R273" s="19">
        <f t="shared" si="22"/>
        <v>1</v>
      </c>
      <c r="S273" s="6">
        <f t="shared" si="23"/>
        <v>1</v>
      </c>
      <c r="T273" s="5">
        <f t="shared" si="24"/>
        <v>1</v>
      </c>
    </row>
    <row r="274" spans="2:20" x14ac:dyDescent="0.25">
      <c r="B274" t="s">
        <v>667</v>
      </c>
      <c r="E274">
        <v>1</v>
      </c>
      <c r="F274">
        <v>1</v>
      </c>
      <c r="N274">
        <v>2</v>
      </c>
      <c r="O274" s="1">
        <v>2</v>
      </c>
      <c r="P274" s="11">
        <f t="shared" si="20"/>
        <v>0.18181818181818182</v>
      </c>
      <c r="Q274" s="11">
        <f t="shared" si="21"/>
        <v>6.0606060606060606E-3</v>
      </c>
      <c r="R274" s="19">
        <f t="shared" si="22"/>
        <v>1</v>
      </c>
      <c r="S274" s="6">
        <f t="shared" si="23"/>
        <v>1</v>
      </c>
      <c r="T274" s="5">
        <f t="shared" si="24"/>
        <v>1</v>
      </c>
    </row>
    <row r="275" spans="2:20" x14ac:dyDescent="0.25">
      <c r="B275" t="s">
        <v>820</v>
      </c>
      <c r="G275">
        <v>4</v>
      </c>
      <c r="H275">
        <v>3</v>
      </c>
      <c r="K275">
        <v>1</v>
      </c>
      <c r="M275">
        <v>2</v>
      </c>
      <c r="N275">
        <v>10</v>
      </c>
      <c r="O275" s="1">
        <v>10</v>
      </c>
      <c r="P275" s="11">
        <f t="shared" si="20"/>
        <v>0.90909090909090906</v>
      </c>
      <c r="Q275" s="11">
        <f t="shared" si="21"/>
        <v>3.03030303030303E-2</v>
      </c>
      <c r="R275" s="19">
        <f t="shared" si="22"/>
        <v>1</v>
      </c>
      <c r="S275" s="6">
        <f t="shared" si="23"/>
        <v>1</v>
      </c>
      <c r="T275" s="5">
        <f t="shared" si="24"/>
        <v>1</v>
      </c>
    </row>
    <row r="276" spans="2:20" x14ac:dyDescent="0.25">
      <c r="B276" t="s">
        <v>871</v>
      </c>
      <c r="H276">
        <v>3</v>
      </c>
      <c r="J276">
        <v>1</v>
      </c>
      <c r="K276">
        <v>6</v>
      </c>
      <c r="M276">
        <v>1</v>
      </c>
      <c r="N276">
        <v>11</v>
      </c>
      <c r="O276" s="1">
        <v>11</v>
      </c>
      <c r="P276" s="11">
        <f t="shared" si="20"/>
        <v>1</v>
      </c>
      <c r="Q276" s="11">
        <f t="shared" si="21"/>
        <v>3.3333333333333333E-2</v>
      </c>
      <c r="R276" s="19">
        <f t="shared" si="22"/>
        <v>1</v>
      </c>
      <c r="S276" s="6">
        <f t="shared" si="23"/>
        <v>1</v>
      </c>
      <c r="T276" s="5">
        <f t="shared" si="24"/>
        <v>1</v>
      </c>
    </row>
    <row r="277" spans="2:20" x14ac:dyDescent="0.25">
      <c r="B277" t="s">
        <v>536</v>
      </c>
      <c r="D277">
        <v>2</v>
      </c>
      <c r="I277">
        <v>2</v>
      </c>
      <c r="N277">
        <v>4</v>
      </c>
      <c r="O277" s="1">
        <v>4</v>
      </c>
      <c r="P277" s="11">
        <f t="shared" si="20"/>
        <v>0.36363636363636365</v>
      </c>
      <c r="Q277" s="11">
        <f t="shared" si="21"/>
        <v>1.2121212121212121E-2</v>
      </c>
      <c r="R277" s="19">
        <f t="shared" si="22"/>
        <v>1</v>
      </c>
      <c r="S277" s="6">
        <f t="shared" si="23"/>
        <v>1</v>
      </c>
      <c r="T277" s="5">
        <f t="shared" si="24"/>
        <v>1</v>
      </c>
    </row>
    <row r="278" spans="2:20" x14ac:dyDescent="0.25">
      <c r="B278" t="s">
        <v>872</v>
      </c>
      <c r="H278">
        <v>1</v>
      </c>
      <c r="N278">
        <v>1</v>
      </c>
      <c r="O278" s="1">
        <v>1</v>
      </c>
      <c r="P278" s="11">
        <f t="shared" si="20"/>
        <v>9.0909090909090912E-2</v>
      </c>
      <c r="Q278" s="11">
        <f t="shared" si="21"/>
        <v>3.0303030303030303E-3</v>
      </c>
      <c r="R278" s="19">
        <f t="shared" si="22"/>
        <v>1</v>
      </c>
      <c r="S278" s="6">
        <f t="shared" si="23"/>
        <v>1</v>
      </c>
      <c r="T278" s="5">
        <f t="shared" si="24"/>
        <v>1</v>
      </c>
    </row>
    <row r="279" spans="2:20" x14ac:dyDescent="0.25">
      <c r="B279" t="s">
        <v>127</v>
      </c>
      <c r="C279">
        <v>9</v>
      </c>
      <c r="D279">
        <v>13</v>
      </c>
      <c r="E279">
        <v>2</v>
      </c>
      <c r="F279">
        <v>6</v>
      </c>
      <c r="G279">
        <v>3</v>
      </c>
      <c r="H279">
        <v>5</v>
      </c>
      <c r="I279">
        <v>3</v>
      </c>
      <c r="K279">
        <v>4</v>
      </c>
      <c r="L279">
        <v>5</v>
      </c>
      <c r="M279">
        <v>5</v>
      </c>
      <c r="N279">
        <v>55</v>
      </c>
      <c r="O279" s="1">
        <v>55</v>
      </c>
      <c r="P279" s="11">
        <f t="shared" si="20"/>
        <v>5</v>
      </c>
      <c r="Q279" s="11">
        <f t="shared" si="21"/>
        <v>0.16666666666666666</v>
      </c>
      <c r="R279" s="19">
        <f t="shared" si="22"/>
        <v>3</v>
      </c>
      <c r="S279" s="6">
        <f t="shared" si="23"/>
        <v>3</v>
      </c>
      <c r="T279" s="5">
        <f t="shared" si="24"/>
        <v>3</v>
      </c>
    </row>
    <row r="280" spans="2:20" x14ac:dyDescent="0.25">
      <c r="B280" t="s">
        <v>128</v>
      </c>
      <c r="C280">
        <v>3</v>
      </c>
      <c r="E280">
        <v>3</v>
      </c>
      <c r="G280">
        <v>3</v>
      </c>
      <c r="I280">
        <v>3</v>
      </c>
      <c r="L280">
        <v>3</v>
      </c>
      <c r="M280">
        <v>3</v>
      </c>
      <c r="N280">
        <v>18</v>
      </c>
      <c r="O280" s="1">
        <v>18</v>
      </c>
      <c r="P280" s="11">
        <f t="shared" si="20"/>
        <v>1.6363636363636365</v>
      </c>
      <c r="Q280" s="11">
        <f t="shared" si="21"/>
        <v>5.454545454545455E-2</v>
      </c>
      <c r="R280" s="19">
        <f t="shared" si="22"/>
        <v>1</v>
      </c>
      <c r="S280" s="6">
        <f t="shared" si="23"/>
        <v>1</v>
      </c>
      <c r="T280" s="5">
        <f t="shared" si="24"/>
        <v>1</v>
      </c>
    </row>
    <row r="281" spans="2:20" x14ac:dyDescent="0.25">
      <c r="B281" t="s">
        <v>668</v>
      </c>
      <c r="E281">
        <v>1</v>
      </c>
      <c r="N281">
        <v>1</v>
      </c>
      <c r="O281" s="1">
        <v>1</v>
      </c>
      <c r="P281" s="11">
        <f t="shared" si="20"/>
        <v>9.0909090909090912E-2</v>
      </c>
      <c r="Q281" s="11">
        <f t="shared" si="21"/>
        <v>3.0303030303030303E-3</v>
      </c>
      <c r="R281" s="19">
        <f t="shared" si="22"/>
        <v>1</v>
      </c>
      <c r="S281" s="6">
        <f t="shared" si="23"/>
        <v>1</v>
      </c>
      <c r="T281" s="5">
        <f t="shared" si="24"/>
        <v>1</v>
      </c>
    </row>
    <row r="282" spans="2:20" x14ac:dyDescent="0.25">
      <c r="B282" t="s">
        <v>754</v>
      </c>
      <c r="F282">
        <v>1</v>
      </c>
      <c r="L282">
        <v>2</v>
      </c>
      <c r="N282">
        <v>3</v>
      </c>
      <c r="O282" s="1">
        <v>3</v>
      </c>
      <c r="P282" s="11">
        <f t="shared" si="20"/>
        <v>0.27272727272727271</v>
      </c>
      <c r="Q282" s="11">
        <f t="shared" si="21"/>
        <v>9.0909090909090905E-3</v>
      </c>
      <c r="R282" s="19">
        <f t="shared" si="22"/>
        <v>1</v>
      </c>
      <c r="S282" s="6">
        <f t="shared" si="23"/>
        <v>1</v>
      </c>
      <c r="T282" s="5">
        <f t="shared" si="24"/>
        <v>1</v>
      </c>
    </row>
    <row r="283" spans="2:20" x14ac:dyDescent="0.25">
      <c r="B283" t="s">
        <v>755</v>
      </c>
      <c r="F283">
        <v>1</v>
      </c>
      <c r="J283">
        <v>1</v>
      </c>
      <c r="K283">
        <v>1</v>
      </c>
      <c r="N283">
        <v>3</v>
      </c>
      <c r="O283" s="1">
        <v>3</v>
      </c>
      <c r="P283" s="11">
        <f t="shared" si="20"/>
        <v>0.27272727272727271</v>
      </c>
      <c r="Q283" s="11">
        <f t="shared" si="21"/>
        <v>9.0909090909090905E-3</v>
      </c>
      <c r="R283" s="19">
        <f t="shared" si="22"/>
        <v>1</v>
      </c>
      <c r="S283" s="6">
        <f t="shared" si="23"/>
        <v>1</v>
      </c>
      <c r="T283" s="5">
        <f t="shared" si="24"/>
        <v>1</v>
      </c>
    </row>
    <row r="284" spans="2:20" x14ac:dyDescent="0.25">
      <c r="B284" t="s">
        <v>537</v>
      </c>
      <c r="D284">
        <v>1</v>
      </c>
      <c r="N284">
        <v>1</v>
      </c>
      <c r="O284" s="1">
        <v>1</v>
      </c>
      <c r="P284" s="11">
        <f t="shared" si="20"/>
        <v>9.0909090909090912E-2</v>
      </c>
      <c r="Q284" s="11">
        <f t="shared" si="21"/>
        <v>3.0303030303030303E-3</v>
      </c>
      <c r="R284" s="19">
        <f t="shared" si="22"/>
        <v>1</v>
      </c>
      <c r="S284" s="6">
        <f t="shared" si="23"/>
        <v>1</v>
      </c>
      <c r="T284" s="5">
        <f t="shared" si="24"/>
        <v>1</v>
      </c>
    </row>
    <row r="285" spans="2:20" x14ac:dyDescent="0.25">
      <c r="B285" t="s">
        <v>873</v>
      </c>
      <c r="H285">
        <v>2</v>
      </c>
      <c r="I285">
        <v>3</v>
      </c>
      <c r="K285">
        <v>2</v>
      </c>
      <c r="L285">
        <v>2</v>
      </c>
      <c r="M285">
        <v>1</v>
      </c>
      <c r="N285">
        <v>10</v>
      </c>
      <c r="O285" s="1">
        <v>10</v>
      </c>
      <c r="P285" s="11">
        <f t="shared" si="20"/>
        <v>0.90909090909090906</v>
      </c>
      <c r="Q285" s="11">
        <f t="shared" si="21"/>
        <v>3.03030303030303E-2</v>
      </c>
      <c r="R285" s="19">
        <f t="shared" si="22"/>
        <v>1</v>
      </c>
      <c r="S285" s="6">
        <f t="shared" si="23"/>
        <v>1</v>
      </c>
      <c r="T285" s="5">
        <f t="shared" si="24"/>
        <v>1</v>
      </c>
    </row>
    <row r="286" spans="2:20" x14ac:dyDescent="0.25">
      <c r="B286" t="s">
        <v>129</v>
      </c>
      <c r="C286">
        <v>3</v>
      </c>
      <c r="E286">
        <v>1</v>
      </c>
      <c r="F286">
        <v>1</v>
      </c>
      <c r="G286">
        <v>1</v>
      </c>
      <c r="H286">
        <v>2</v>
      </c>
      <c r="N286">
        <v>8</v>
      </c>
      <c r="O286" s="1">
        <v>8</v>
      </c>
      <c r="P286" s="11">
        <f t="shared" si="20"/>
        <v>0.72727272727272729</v>
      </c>
      <c r="Q286" s="11">
        <f t="shared" si="21"/>
        <v>2.4242424242424242E-2</v>
      </c>
      <c r="R286" s="19">
        <f t="shared" si="22"/>
        <v>1</v>
      </c>
      <c r="S286" s="6">
        <f t="shared" si="23"/>
        <v>1</v>
      </c>
      <c r="T286" s="5">
        <f t="shared" si="24"/>
        <v>1</v>
      </c>
    </row>
    <row r="287" spans="2:20" x14ac:dyDescent="0.25">
      <c r="B287" t="s">
        <v>130</v>
      </c>
      <c r="C287">
        <v>3</v>
      </c>
      <c r="E287">
        <v>2</v>
      </c>
      <c r="F287">
        <v>2</v>
      </c>
      <c r="G287">
        <v>2</v>
      </c>
      <c r="H287">
        <v>1</v>
      </c>
      <c r="L287">
        <v>1</v>
      </c>
      <c r="M287">
        <v>1</v>
      </c>
      <c r="N287">
        <v>12</v>
      </c>
      <c r="O287" s="1">
        <v>12</v>
      </c>
      <c r="P287" s="11">
        <f t="shared" si="20"/>
        <v>1.0909090909090908</v>
      </c>
      <c r="Q287" s="11">
        <f t="shared" si="21"/>
        <v>3.6363636363636362E-2</v>
      </c>
      <c r="R287" s="19">
        <f t="shared" si="22"/>
        <v>1</v>
      </c>
      <c r="S287" s="6">
        <f t="shared" si="23"/>
        <v>1</v>
      </c>
      <c r="T287" s="5">
        <f t="shared" si="24"/>
        <v>1</v>
      </c>
    </row>
    <row r="288" spans="2:20" x14ac:dyDescent="0.25">
      <c r="B288" t="s">
        <v>131</v>
      </c>
      <c r="C288">
        <v>2</v>
      </c>
      <c r="D288">
        <v>3</v>
      </c>
      <c r="E288">
        <v>3</v>
      </c>
      <c r="F288">
        <v>1</v>
      </c>
      <c r="G288">
        <v>1</v>
      </c>
      <c r="H288">
        <v>2</v>
      </c>
      <c r="I288">
        <v>3</v>
      </c>
      <c r="J288">
        <v>1</v>
      </c>
      <c r="K288">
        <v>3</v>
      </c>
      <c r="L288">
        <v>3</v>
      </c>
      <c r="M288">
        <v>1</v>
      </c>
      <c r="N288">
        <v>23</v>
      </c>
      <c r="O288" s="1">
        <v>23</v>
      </c>
      <c r="P288" s="11">
        <f t="shared" si="20"/>
        <v>2.0909090909090908</v>
      </c>
      <c r="Q288" s="11">
        <f t="shared" si="21"/>
        <v>6.9696969696969688E-2</v>
      </c>
      <c r="R288" s="19">
        <f t="shared" si="22"/>
        <v>1</v>
      </c>
      <c r="S288" s="6">
        <f t="shared" si="23"/>
        <v>1</v>
      </c>
      <c r="T288" s="5">
        <f t="shared" si="24"/>
        <v>1</v>
      </c>
    </row>
    <row r="289" spans="2:20" x14ac:dyDescent="0.25">
      <c r="B289" t="s">
        <v>132</v>
      </c>
      <c r="C289">
        <v>1</v>
      </c>
      <c r="D289">
        <v>1</v>
      </c>
      <c r="G289">
        <v>1</v>
      </c>
      <c r="H289">
        <v>2</v>
      </c>
      <c r="J289">
        <v>1</v>
      </c>
      <c r="L289">
        <v>1</v>
      </c>
      <c r="M289">
        <v>1</v>
      </c>
      <c r="N289">
        <v>8</v>
      </c>
      <c r="O289" s="1">
        <v>8</v>
      </c>
      <c r="P289" s="11">
        <f t="shared" si="20"/>
        <v>0.72727272727272729</v>
      </c>
      <c r="Q289" s="11">
        <f t="shared" si="21"/>
        <v>2.4242424242424242E-2</v>
      </c>
      <c r="R289" s="19">
        <f t="shared" si="22"/>
        <v>1</v>
      </c>
      <c r="S289" s="6">
        <f t="shared" si="23"/>
        <v>1</v>
      </c>
      <c r="T289" s="5">
        <f t="shared" si="24"/>
        <v>1</v>
      </c>
    </row>
    <row r="290" spans="2:20" x14ac:dyDescent="0.25">
      <c r="B290" t="s">
        <v>1086</v>
      </c>
      <c r="M290">
        <v>3</v>
      </c>
      <c r="N290">
        <v>3</v>
      </c>
      <c r="O290" s="1">
        <v>3</v>
      </c>
      <c r="P290" s="11">
        <f t="shared" si="20"/>
        <v>0.27272727272727271</v>
      </c>
      <c r="Q290" s="11">
        <f t="shared" si="21"/>
        <v>9.0909090909090905E-3</v>
      </c>
      <c r="R290" s="19">
        <f t="shared" si="22"/>
        <v>1</v>
      </c>
      <c r="S290" s="6">
        <f t="shared" si="23"/>
        <v>1</v>
      </c>
      <c r="T290" s="5">
        <f t="shared" si="24"/>
        <v>1</v>
      </c>
    </row>
    <row r="291" spans="2:20" x14ac:dyDescent="0.25">
      <c r="B291" t="s">
        <v>1087</v>
      </c>
      <c r="M291">
        <v>1</v>
      </c>
      <c r="N291">
        <v>1</v>
      </c>
      <c r="O291" s="1">
        <v>1</v>
      </c>
      <c r="P291" s="11">
        <f t="shared" si="20"/>
        <v>9.0909090909090912E-2</v>
      </c>
      <c r="Q291" s="11">
        <f t="shared" si="21"/>
        <v>3.0303030303030303E-3</v>
      </c>
      <c r="R291" s="19">
        <f t="shared" si="22"/>
        <v>1</v>
      </c>
      <c r="S291" s="6">
        <f t="shared" si="23"/>
        <v>1</v>
      </c>
      <c r="T291" s="5">
        <f t="shared" si="24"/>
        <v>1</v>
      </c>
    </row>
    <row r="292" spans="2:20" x14ac:dyDescent="0.25">
      <c r="B292" t="s">
        <v>133</v>
      </c>
      <c r="C292">
        <v>34</v>
      </c>
      <c r="D292">
        <v>73</v>
      </c>
      <c r="E292">
        <v>65</v>
      </c>
      <c r="F292">
        <v>36</v>
      </c>
      <c r="G292">
        <v>53</v>
      </c>
      <c r="H292">
        <v>15</v>
      </c>
      <c r="I292">
        <v>31</v>
      </c>
      <c r="J292">
        <v>34</v>
      </c>
      <c r="K292">
        <v>42</v>
      </c>
      <c r="L292">
        <v>37</v>
      </c>
      <c r="M292">
        <v>9</v>
      </c>
      <c r="N292">
        <v>429</v>
      </c>
      <c r="O292" s="1">
        <v>429</v>
      </c>
      <c r="P292" s="11">
        <f t="shared" si="20"/>
        <v>39</v>
      </c>
      <c r="Q292" s="11">
        <f t="shared" si="21"/>
        <v>1.3</v>
      </c>
      <c r="R292" s="19">
        <f t="shared" si="22"/>
        <v>19</v>
      </c>
      <c r="S292" s="6">
        <f t="shared" si="23"/>
        <v>15</v>
      </c>
      <c r="T292" s="5">
        <f t="shared" si="24"/>
        <v>11</v>
      </c>
    </row>
    <row r="293" spans="2:20" x14ac:dyDescent="0.25">
      <c r="B293" t="s">
        <v>821</v>
      </c>
      <c r="G293">
        <v>0</v>
      </c>
      <c r="N293">
        <v>0</v>
      </c>
      <c r="O293" s="1">
        <v>0</v>
      </c>
      <c r="P293" s="11">
        <f t="shared" si="20"/>
        <v>0</v>
      </c>
      <c r="Q293" s="11">
        <f t="shared" si="21"/>
        <v>0</v>
      </c>
      <c r="R293" s="19">
        <f t="shared" si="22"/>
        <v>1</v>
      </c>
      <c r="S293" s="6">
        <f t="shared" si="23"/>
        <v>1</v>
      </c>
      <c r="T293" s="7">
        <f t="shared" si="24"/>
        <v>1</v>
      </c>
    </row>
    <row r="294" spans="2:20" x14ac:dyDescent="0.25">
      <c r="B294" t="s">
        <v>1088</v>
      </c>
      <c r="M294">
        <v>66</v>
      </c>
      <c r="N294">
        <v>66</v>
      </c>
      <c r="O294" s="1">
        <v>66</v>
      </c>
      <c r="P294" s="11">
        <f t="shared" si="20"/>
        <v>6</v>
      </c>
      <c r="Q294" s="11">
        <f t="shared" si="21"/>
        <v>0.2</v>
      </c>
      <c r="R294" s="19">
        <f t="shared" si="22"/>
        <v>3</v>
      </c>
      <c r="S294" s="6">
        <f t="shared" si="23"/>
        <v>3</v>
      </c>
      <c r="T294" s="5">
        <f t="shared" si="24"/>
        <v>3</v>
      </c>
    </row>
    <row r="295" spans="2:20" x14ac:dyDescent="0.25">
      <c r="B295" t="s">
        <v>134</v>
      </c>
      <c r="C295">
        <v>39</v>
      </c>
      <c r="D295">
        <v>83</v>
      </c>
      <c r="E295">
        <v>16</v>
      </c>
      <c r="F295">
        <v>50</v>
      </c>
      <c r="G295">
        <v>216</v>
      </c>
      <c r="H295">
        <v>54</v>
      </c>
      <c r="I295">
        <v>48</v>
      </c>
      <c r="J295">
        <v>16</v>
      </c>
      <c r="K295">
        <v>8</v>
      </c>
      <c r="L295">
        <v>3</v>
      </c>
      <c r="M295">
        <v>4</v>
      </c>
      <c r="N295">
        <v>537</v>
      </c>
      <c r="O295" s="1">
        <v>537</v>
      </c>
      <c r="P295" s="11">
        <f t="shared" si="20"/>
        <v>48.81818181818182</v>
      </c>
      <c r="Q295" s="11">
        <f t="shared" si="21"/>
        <v>1.6272727272727274</v>
      </c>
      <c r="R295" s="19">
        <f t="shared" si="22"/>
        <v>23</v>
      </c>
      <c r="S295" s="6">
        <f t="shared" si="23"/>
        <v>19</v>
      </c>
      <c r="T295" s="5">
        <f t="shared" si="24"/>
        <v>13</v>
      </c>
    </row>
    <row r="296" spans="2:20" x14ac:dyDescent="0.25">
      <c r="B296" t="s">
        <v>538</v>
      </c>
      <c r="D296">
        <v>1</v>
      </c>
      <c r="F296">
        <v>1</v>
      </c>
      <c r="G296">
        <v>2</v>
      </c>
      <c r="I296">
        <v>1</v>
      </c>
      <c r="J296">
        <v>2</v>
      </c>
      <c r="K296">
        <v>1</v>
      </c>
      <c r="L296">
        <v>1</v>
      </c>
      <c r="N296">
        <v>9</v>
      </c>
      <c r="O296" s="1">
        <v>9</v>
      </c>
      <c r="P296" s="11">
        <f t="shared" si="20"/>
        <v>0.81818181818181823</v>
      </c>
      <c r="Q296" s="11">
        <f t="shared" si="21"/>
        <v>2.7272727272727275E-2</v>
      </c>
      <c r="R296" s="19">
        <f t="shared" si="22"/>
        <v>1</v>
      </c>
      <c r="S296" s="6">
        <f t="shared" si="23"/>
        <v>1</v>
      </c>
      <c r="T296" s="5">
        <f t="shared" si="24"/>
        <v>1</v>
      </c>
    </row>
    <row r="297" spans="2:20" x14ac:dyDescent="0.25">
      <c r="B297" t="s">
        <v>874</v>
      </c>
      <c r="H297">
        <v>1</v>
      </c>
      <c r="N297">
        <v>1</v>
      </c>
      <c r="O297" s="1">
        <v>1</v>
      </c>
      <c r="P297" s="11">
        <f t="shared" si="20"/>
        <v>9.0909090909090912E-2</v>
      </c>
      <c r="Q297" s="11">
        <f t="shared" si="21"/>
        <v>3.0303030303030303E-3</v>
      </c>
      <c r="R297" s="19">
        <f t="shared" si="22"/>
        <v>1</v>
      </c>
      <c r="S297" s="6">
        <f t="shared" si="23"/>
        <v>1</v>
      </c>
      <c r="T297" s="5">
        <f t="shared" si="24"/>
        <v>1</v>
      </c>
    </row>
    <row r="298" spans="2:20" x14ac:dyDescent="0.25">
      <c r="B298" t="s">
        <v>1047</v>
      </c>
      <c r="L298">
        <v>1</v>
      </c>
      <c r="M298">
        <v>1</v>
      </c>
      <c r="N298">
        <v>2</v>
      </c>
      <c r="O298" s="1">
        <v>2</v>
      </c>
      <c r="P298" s="11">
        <f t="shared" si="20"/>
        <v>0.18181818181818182</v>
      </c>
      <c r="Q298" s="11">
        <f t="shared" si="21"/>
        <v>6.0606060606060606E-3</v>
      </c>
      <c r="R298" s="19">
        <f t="shared" si="22"/>
        <v>1</v>
      </c>
      <c r="S298" s="6">
        <f t="shared" si="23"/>
        <v>1</v>
      </c>
      <c r="T298" s="5">
        <f t="shared" si="24"/>
        <v>1</v>
      </c>
    </row>
    <row r="299" spans="2:20" x14ac:dyDescent="0.25">
      <c r="B299" t="s">
        <v>135</v>
      </c>
      <c r="C299">
        <v>2</v>
      </c>
      <c r="D299">
        <v>3</v>
      </c>
      <c r="J299">
        <v>1</v>
      </c>
      <c r="L299">
        <v>1</v>
      </c>
      <c r="N299">
        <v>7</v>
      </c>
      <c r="O299" s="1">
        <v>7</v>
      </c>
      <c r="P299" s="11">
        <f t="shared" si="20"/>
        <v>0.63636363636363635</v>
      </c>
      <c r="Q299" s="11">
        <f t="shared" si="21"/>
        <v>2.1212121212121213E-2</v>
      </c>
      <c r="R299" s="19">
        <f t="shared" si="22"/>
        <v>1</v>
      </c>
      <c r="S299" s="6">
        <f t="shared" si="23"/>
        <v>1</v>
      </c>
      <c r="T299" s="5">
        <f t="shared" si="24"/>
        <v>1</v>
      </c>
    </row>
    <row r="300" spans="2:20" x14ac:dyDescent="0.25">
      <c r="B300" t="s">
        <v>539</v>
      </c>
      <c r="D300">
        <v>1</v>
      </c>
      <c r="N300">
        <v>1</v>
      </c>
      <c r="O300" s="1">
        <v>1</v>
      </c>
      <c r="P300" s="11">
        <f t="shared" si="20"/>
        <v>9.0909090909090912E-2</v>
      </c>
      <c r="Q300" s="11">
        <f t="shared" si="21"/>
        <v>3.0303030303030303E-3</v>
      </c>
      <c r="R300" s="19">
        <f t="shared" si="22"/>
        <v>1</v>
      </c>
      <c r="S300" s="6">
        <f t="shared" si="23"/>
        <v>1</v>
      </c>
      <c r="T300" s="5">
        <f t="shared" si="24"/>
        <v>1</v>
      </c>
    </row>
    <row r="301" spans="2:20" x14ac:dyDescent="0.25">
      <c r="B301" t="s">
        <v>756</v>
      </c>
      <c r="F301">
        <v>1</v>
      </c>
      <c r="G301">
        <v>1</v>
      </c>
      <c r="H301">
        <v>3</v>
      </c>
      <c r="I301">
        <v>1</v>
      </c>
      <c r="K301">
        <v>2</v>
      </c>
      <c r="L301">
        <v>6</v>
      </c>
      <c r="M301">
        <v>2</v>
      </c>
      <c r="N301">
        <v>16</v>
      </c>
      <c r="O301" s="1">
        <v>16</v>
      </c>
      <c r="P301" s="11">
        <f t="shared" si="20"/>
        <v>1.4545454545454546</v>
      </c>
      <c r="Q301" s="11">
        <f t="shared" si="21"/>
        <v>4.8484848484848485E-2</v>
      </c>
      <c r="R301" s="19">
        <f t="shared" si="22"/>
        <v>1</v>
      </c>
      <c r="S301" s="6">
        <f t="shared" si="23"/>
        <v>1</v>
      </c>
      <c r="T301" s="5">
        <f t="shared" si="24"/>
        <v>1</v>
      </c>
    </row>
    <row r="302" spans="2:20" x14ac:dyDescent="0.25">
      <c r="B302" t="s">
        <v>669</v>
      </c>
      <c r="E302">
        <v>1</v>
      </c>
      <c r="F302">
        <v>1</v>
      </c>
      <c r="N302">
        <v>2</v>
      </c>
      <c r="O302" s="1">
        <v>2</v>
      </c>
      <c r="P302" s="11">
        <f t="shared" si="20"/>
        <v>0.18181818181818182</v>
      </c>
      <c r="Q302" s="11">
        <f t="shared" si="21"/>
        <v>6.0606060606060606E-3</v>
      </c>
      <c r="R302" s="19">
        <f t="shared" si="22"/>
        <v>1</v>
      </c>
      <c r="S302" s="6">
        <f t="shared" si="23"/>
        <v>1</v>
      </c>
      <c r="T302" s="5">
        <f t="shared" si="24"/>
        <v>1</v>
      </c>
    </row>
    <row r="303" spans="2:20" x14ac:dyDescent="0.25">
      <c r="B303" t="s">
        <v>1089</v>
      </c>
      <c r="M303">
        <v>1</v>
      </c>
      <c r="N303">
        <v>1</v>
      </c>
      <c r="O303" s="1">
        <v>1</v>
      </c>
      <c r="P303" s="11">
        <f t="shared" si="20"/>
        <v>9.0909090909090912E-2</v>
      </c>
      <c r="Q303" s="11">
        <f t="shared" si="21"/>
        <v>3.0303030303030303E-3</v>
      </c>
      <c r="R303" s="19">
        <f t="shared" si="22"/>
        <v>1</v>
      </c>
      <c r="S303" s="6">
        <f t="shared" si="23"/>
        <v>1</v>
      </c>
      <c r="T303" s="5">
        <f t="shared" si="24"/>
        <v>1</v>
      </c>
    </row>
    <row r="304" spans="2:20" x14ac:dyDescent="0.25">
      <c r="B304" t="s">
        <v>136</v>
      </c>
      <c r="C304">
        <v>1</v>
      </c>
      <c r="H304">
        <v>1</v>
      </c>
      <c r="I304">
        <v>1</v>
      </c>
      <c r="K304">
        <v>1</v>
      </c>
      <c r="L304">
        <v>1</v>
      </c>
      <c r="N304">
        <v>5</v>
      </c>
      <c r="O304" s="1">
        <v>5</v>
      </c>
      <c r="P304" s="11">
        <f t="shared" si="20"/>
        <v>0.45454545454545453</v>
      </c>
      <c r="Q304" s="11">
        <f t="shared" si="21"/>
        <v>1.515151515151515E-2</v>
      </c>
      <c r="R304" s="19">
        <f t="shared" si="22"/>
        <v>1</v>
      </c>
      <c r="S304" s="6">
        <f t="shared" si="23"/>
        <v>1</v>
      </c>
      <c r="T304" s="5">
        <f t="shared" si="24"/>
        <v>1</v>
      </c>
    </row>
    <row r="305" spans="2:20" x14ac:dyDescent="0.25">
      <c r="B305" t="s">
        <v>1048</v>
      </c>
      <c r="L305">
        <v>1</v>
      </c>
      <c r="N305">
        <v>1</v>
      </c>
      <c r="O305" s="1">
        <v>1</v>
      </c>
      <c r="P305" s="11">
        <f t="shared" si="20"/>
        <v>9.0909090909090912E-2</v>
      </c>
      <c r="Q305" s="11">
        <f t="shared" si="21"/>
        <v>3.0303030303030303E-3</v>
      </c>
      <c r="R305" s="19">
        <f t="shared" si="22"/>
        <v>1</v>
      </c>
      <c r="S305" s="6">
        <f t="shared" si="23"/>
        <v>1</v>
      </c>
      <c r="T305" s="5">
        <f t="shared" si="24"/>
        <v>1</v>
      </c>
    </row>
    <row r="306" spans="2:20" x14ac:dyDescent="0.25">
      <c r="B306" t="s">
        <v>961</v>
      </c>
      <c r="J306">
        <v>1</v>
      </c>
      <c r="N306">
        <v>1</v>
      </c>
      <c r="O306" s="1">
        <v>1</v>
      </c>
      <c r="P306" s="11">
        <f t="shared" si="20"/>
        <v>9.0909090909090912E-2</v>
      </c>
      <c r="Q306" s="11">
        <f t="shared" si="21"/>
        <v>3.0303030303030303E-3</v>
      </c>
      <c r="R306" s="19">
        <f t="shared" si="22"/>
        <v>1</v>
      </c>
      <c r="S306" s="6">
        <f t="shared" si="23"/>
        <v>1</v>
      </c>
      <c r="T306" s="5">
        <f t="shared" si="24"/>
        <v>1</v>
      </c>
    </row>
    <row r="307" spans="2:20" x14ac:dyDescent="0.25">
      <c r="B307" t="s">
        <v>137</v>
      </c>
      <c r="C307">
        <v>2</v>
      </c>
      <c r="E307">
        <v>1</v>
      </c>
      <c r="L307">
        <v>1</v>
      </c>
      <c r="M307">
        <v>1</v>
      </c>
      <c r="N307">
        <v>5</v>
      </c>
      <c r="O307" s="1">
        <v>5</v>
      </c>
      <c r="P307" s="11">
        <f t="shared" si="20"/>
        <v>0.45454545454545453</v>
      </c>
      <c r="Q307" s="11">
        <f t="shared" si="21"/>
        <v>1.515151515151515E-2</v>
      </c>
      <c r="R307" s="19">
        <f t="shared" si="22"/>
        <v>1</v>
      </c>
      <c r="S307" s="6">
        <f t="shared" si="23"/>
        <v>1</v>
      </c>
      <c r="T307" s="5">
        <f t="shared" si="24"/>
        <v>1</v>
      </c>
    </row>
    <row r="308" spans="2:20" x14ac:dyDescent="0.25">
      <c r="B308" t="s">
        <v>1049</v>
      </c>
      <c r="L308">
        <v>1</v>
      </c>
      <c r="N308">
        <v>1</v>
      </c>
      <c r="O308" s="1">
        <v>1</v>
      </c>
      <c r="P308" s="11">
        <f t="shared" si="20"/>
        <v>9.0909090909090912E-2</v>
      </c>
      <c r="Q308" s="11">
        <f t="shared" si="21"/>
        <v>3.0303030303030303E-3</v>
      </c>
      <c r="R308" s="19">
        <f t="shared" si="22"/>
        <v>1</v>
      </c>
      <c r="S308" s="6">
        <f t="shared" si="23"/>
        <v>1</v>
      </c>
      <c r="T308" s="5">
        <f t="shared" si="24"/>
        <v>1</v>
      </c>
    </row>
    <row r="309" spans="2:20" x14ac:dyDescent="0.25">
      <c r="B309" t="s">
        <v>540</v>
      </c>
      <c r="D309">
        <v>2</v>
      </c>
      <c r="G309">
        <v>1</v>
      </c>
      <c r="J309">
        <v>1</v>
      </c>
      <c r="M309">
        <v>1</v>
      </c>
      <c r="N309">
        <v>5</v>
      </c>
      <c r="O309" s="1">
        <v>5</v>
      </c>
      <c r="P309" s="11">
        <f t="shared" si="20"/>
        <v>0.45454545454545453</v>
      </c>
      <c r="Q309" s="11">
        <f t="shared" si="21"/>
        <v>1.515151515151515E-2</v>
      </c>
      <c r="R309" s="19">
        <f t="shared" si="22"/>
        <v>1</v>
      </c>
      <c r="S309" s="6">
        <f t="shared" si="23"/>
        <v>1</v>
      </c>
      <c r="T309" s="5">
        <f t="shared" si="24"/>
        <v>1</v>
      </c>
    </row>
    <row r="310" spans="2:20" x14ac:dyDescent="0.25">
      <c r="B310" t="s">
        <v>138</v>
      </c>
      <c r="C310">
        <v>0</v>
      </c>
      <c r="H310">
        <v>1</v>
      </c>
      <c r="L310">
        <v>3</v>
      </c>
      <c r="N310">
        <v>4</v>
      </c>
      <c r="O310" s="1">
        <v>4</v>
      </c>
      <c r="P310" s="11">
        <f t="shared" si="20"/>
        <v>0.36363636363636365</v>
      </c>
      <c r="Q310" s="11">
        <f t="shared" si="21"/>
        <v>1.2121212121212121E-2</v>
      </c>
      <c r="R310" s="19">
        <f t="shared" si="22"/>
        <v>1</v>
      </c>
      <c r="S310" s="6">
        <f t="shared" si="23"/>
        <v>1</v>
      </c>
      <c r="T310" s="5">
        <f t="shared" si="24"/>
        <v>1</v>
      </c>
    </row>
    <row r="311" spans="2:20" x14ac:dyDescent="0.25">
      <c r="B311" t="s">
        <v>139</v>
      </c>
      <c r="C311">
        <v>71</v>
      </c>
      <c r="D311">
        <v>28</v>
      </c>
      <c r="E311">
        <v>32</v>
      </c>
      <c r="F311">
        <v>45</v>
      </c>
      <c r="G311">
        <v>62</v>
      </c>
      <c r="H311">
        <v>96</v>
      </c>
      <c r="I311">
        <v>60</v>
      </c>
      <c r="J311">
        <v>18</v>
      </c>
      <c r="K311">
        <v>25</v>
      </c>
      <c r="L311">
        <v>30</v>
      </c>
      <c r="M311">
        <v>86</v>
      </c>
      <c r="N311">
        <v>553</v>
      </c>
      <c r="O311" s="1">
        <v>553</v>
      </c>
      <c r="P311" s="11">
        <f t="shared" si="20"/>
        <v>50.272727272727273</v>
      </c>
      <c r="Q311" s="11">
        <f t="shared" si="21"/>
        <v>1.6757575757575758</v>
      </c>
      <c r="R311" s="19">
        <f t="shared" si="22"/>
        <v>25</v>
      </c>
      <c r="S311" s="6">
        <f t="shared" si="23"/>
        <v>19</v>
      </c>
      <c r="T311" s="5">
        <f t="shared" si="24"/>
        <v>13</v>
      </c>
    </row>
    <row r="312" spans="2:20" x14ac:dyDescent="0.25">
      <c r="B312" t="s">
        <v>140</v>
      </c>
      <c r="C312">
        <v>1</v>
      </c>
      <c r="G312">
        <v>2</v>
      </c>
      <c r="H312">
        <v>1</v>
      </c>
      <c r="I312">
        <v>2</v>
      </c>
      <c r="J312">
        <v>1</v>
      </c>
      <c r="K312">
        <v>2</v>
      </c>
      <c r="L312">
        <v>1</v>
      </c>
      <c r="N312">
        <v>10</v>
      </c>
      <c r="O312" s="1">
        <v>10</v>
      </c>
      <c r="P312" s="11">
        <f t="shared" si="20"/>
        <v>0.90909090909090906</v>
      </c>
      <c r="Q312" s="11">
        <f t="shared" si="21"/>
        <v>3.03030303030303E-2</v>
      </c>
      <c r="R312" s="19">
        <f t="shared" si="22"/>
        <v>1</v>
      </c>
      <c r="S312" s="6">
        <f t="shared" si="23"/>
        <v>1</v>
      </c>
      <c r="T312" s="5">
        <f t="shared" si="24"/>
        <v>1</v>
      </c>
    </row>
    <row r="313" spans="2:20" x14ac:dyDescent="0.25">
      <c r="B313" t="s">
        <v>141</v>
      </c>
      <c r="C313">
        <v>1</v>
      </c>
      <c r="H313">
        <v>1</v>
      </c>
      <c r="I313">
        <v>1</v>
      </c>
      <c r="N313">
        <v>3</v>
      </c>
      <c r="O313" s="1">
        <v>3</v>
      </c>
      <c r="P313" s="11">
        <f t="shared" si="20"/>
        <v>0.27272727272727271</v>
      </c>
      <c r="Q313" s="11">
        <f t="shared" si="21"/>
        <v>9.0909090909090905E-3</v>
      </c>
      <c r="R313" s="19">
        <f t="shared" si="22"/>
        <v>1</v>
      </c>
      <c r="S313" s="6">
        <f t="shared" si="23"/>
        <v>1</v>
      </c>
      <c r="T313" s="5">
        <f t="shared" si="24"/>
        <v>1</v>
      </c>
    </row>
    <row r="314" spans="2:20" x14ac:dyDescent="0.25">
      <c r="B314" t="s">
        <v>142</v>
      </c>
      <c r="C314">
        <v>5</v>
      </c>
      <c r="D314">
        <v>6</v>
      </c>
      <c r="E314">
        <v>4</v>
      </c>
      <c r="F314">
        <v>3</v>
      </c>
      <c r="G314">
        <v>4</v>
      </c>
      <c r="H314">
        <v>7</v>
      </c>
      <c r="I314">
        <v>3</v>
      </c>
      <c r="J314">
        <v>8</v>
      </c>
      <c r="K314">
        <v>10</v>
      </c>
      <c r="L314">
        <v>9</v>
      </c>
      <c r="M314">
        <v>2</v>
      </c>
      <c r="N314">
        <v>61</v>
      </c>
      <c r="O314" s="1">
        <v>61</v>
      </c>
      <c r="P314" s="11">
        <f t="shared" si="20"/>
        <v>5.5454545454545459</v>
      </c>
      <c r="Q314" s="11">
        <f t="shared" si="21"/>
        <v>0.18484848484848487</v>
      </c>
      <c r="R314" s="19">
        <f t="shared" si="22"/>
        <v>3</v>
      </c>
      <c r="S314" s="6">
        <f t="shared" si="23"/>
        <v>3</v>
      </c>
      <c r="T314" s="5">
        <f t="shared" si="24"/>
        <v>3</v>
      </c>
    </row>
    <row r="315" spans="2:20" x14ac:dyDescent="0.25">
      <c r="B315" t="s">
        <v>143</v>
      </c>
      <c r="C315">
        <v>3</v>
      </c>
      <c r="N315">
        <v>3</v>
      </c>
      <c r="O315" s="1">
        <v>3</v>
      </c>
      <c r="P315" s="11">
        <f t="shared" si="20"/>
        <v>0.27272727272727271</v>
      </c>
      <c r="Q315" s="11">
        <f t="shared" si="21"/>
        <v>9.0909090909090905E-3</v>
      </c>
      <c r="R315" s="19">
        <f t="shared" si="22"/>
        <v>1</v>
      </c>
      <c r="S315" s="6">
        <f t="shared" si="23"/>
        <v>1</v>
      </c>
      <c r="T315" s="5">
        <f t="shared" si="24"/>
        <v>1</v>
      </c>
    </row>
    <row r="316" spans="2:20" x14ac:dyDescent="0.25">
      <c r="B316" t="s">
        <v>144</v>
      </c>
      <c r="C316">
        <v>76</v>
      </c>
      <c r="D316">
        <v>161</v>
      </c>
      <c r="E316">
        <v>45</v>
      </c>
      <c r="F316">
        <v>17</v>
      </c>
      <c r="G316">
        <v>65</v>
      </c>
      <c r="H316">
        <v>150</v>
      </c>
      <c r="I316">
        <v>21</v>
      </c>
      <c r="J316">
        <v>8</v>
      </c>
      <c r="K316">
        <v>16</v>
      </c>
      <c r="L316">
        <v>46</v>
      </c>
      <c r="M316">
        <v>18</v>
      </c>
      <c r="N316">
        <v>623</v>
      </c>
      <c r="O316" s="1">
        <v>623</v>
      </c>
      <c r="P316" s="11">
        <f t="shared" si="20"/>
        <v>56.636363636363633</v>
      </c>
      <c r="Q316" s="11">
        <f t="shared" si="21"/>
        <v>1.8878787878787877</v>
      </c>
      <c r="R316" s="19">
        <f t="shared" si="22"/>
        <v>27</v>
      </c>
      <c r="S316" s="6">
        <f t="shared" si="23"/>
        <v>21</v>
      </c>
      <c r="T316" s="5">
        <f t="shared" si="24"/>
        <v>15</v>
      </c>
    </row>
    <row r="317" spans="2:20" x14ac:dyDescent="0.25">
      <c r="B317" t="s">
        <v>757</v>
      </c>
      <c r="F317">
        <v>1</v>
      </c>
      <c r="G317">
        <v>1</v>
      </c>
      <c r="I317">
        <v>1</v>
      </c>
      <c r="L317">
        <v>1</v>
      </c>
      <c r="M317">
        <v>2</v>
      </c>
      <c r="N317">
        <v>6</v>
      </c>
      <c r="O317" s="1">
        <v>6</v>
      </c>
      <c r="P317" s="11">
        <f t="shared" si="20"/>
        <v>0.54545454545454541</v>
      </c>
      <c r="Q317" s="11">
        <f t="shared" si="21"/>
        <v>1.8181818181818181E-2</v>
      </c>
      <c r="R317" s="19">
        <f t="shared" si="22"/>
        <v>1</v>
      </c>
      <c r="S317" s="6">
        <f t="shared" si="23"/>
        <v>1</v>
      </c>
      <c r="T317" s="5">
        <f t="shared" si="24"/>
        <v>1</v>
      </c>
    </row>
    <row r="318" spans="2:20" x14ac:dyDescent="0.25">
      <c r="B318" t="s">
        <v>758</v>
      </c>
      <c r="F318">
        <v>1</v>
      </c>
      <c r="N318">
        <v>1</v>
      </c>
      <c r="O318" s="1">
        <v>1</v>
      </c>
      <c r="P318" s="11">
        <f t="shared" si="20"/>
        <v>9.0909090909090912E-2</v>
      </c>
      <c r="Q318" s="11">
        <f t="shared" si="21"/>
        <v>3.0303030303030303E-3</v>
      </c>
      <c r="R318" s="19">
        <f t="shared" si="22"/>
        <v>1</v>
      </c>
      <c r="S318" s="6">
        <f t="shared" si="23"/>
        <v>1</v>
      </c>
      <c r="T318" s="5">
        <f t="shared" si="24"/>
        <v>1</v>
      </c>
    </row>
    <row r="319" spans="2:20" x14ac:dyDescent="0.25">
      <c r="B319" t="s">
        <v>541</v>
      </c>
      <c r="D319">
        <v>1</v>
      </c>
      <c r="E319">
        <v>1</v>
      </c>
      <c r="F319">
        <v>1</v>
      </c>
      <c r="G319">
        <v>1</v>
      </c>
      <c r="H319">
        <v>2</v>
      </c>
      <c r="I319">
        <v>5</v>
      </c>
      <c r="J319">
        <v>1</v>
      </c>
      <c r="K319">
        <v>4</v>
      </c>
      <c r="L319">
        <v>6</v>
      </c>
      <c r="M319">
        <v>2</v>
      </c>
      <c r="N319">
        <v>24</v>
      </c>
      <c r="O319" s="1">
        <v>24</v>
      </c>
      <c r="P319" s="11">
        <f t="shared" si="20"/>
        <v>2.1818181818181817</v>
      </c>
      <c r="Q319" s="11">
        <f t="shared" si="21"/>
        <v>7.2727272727272724E-2</v>
      </c>
      <c r="R319" s="19">
        <f t="shared" si="22"/>
        <v>3</v>
      </c>
      <c r="S319" s="6">
        <f t="shared" si="23"/>
        <v>1</v>
      </c>
      <c r="T319" s="5">
        <f t="shared" si="24"/>
        <v>1</v>
      </c>
    </row>
    <row r="320" spans="2:20" x14ac:dyDescent="0.25">
      <c r="B320" t="s">
        <v>145</v>
      </c>
      <c r="C320">
        <v>4</v>
      </c>
      <c r="D320">
        <v>4</v>
      </c>
      <c r="E320">
        <v>19</v>
      </c>
      <c r="F320">
        <v>3</v>
      </c>
      <c r="G320">
        <v>9</v>
      </c>
      <c r="H320">
        <v>1</v>
      </c>
      <c r="I320">
        <v>2</v>
      </c>
      <c r="J320">
        <v>3</v>
      </c>
      <c r="K320">
        <v>1</v>
      </c>
      <c r="L320">
        <v>3</v>
      </c>
      <c r="N320">
        <v>49</v>
      </c>
      <c r="O320" s="1">
        <v>49</v>
      </c>
      <c r="P320" s="11">
        <f t="shared" si="20"/>
        <v>4.4545454545454541</v>
      </c>
      <c r="Q320" s="11">
        <f t="shared" si="21"/>
        <v>0.14848484848484847</v>
      </c>
      <c r="R320" s="19">
        <f t="shared" si="22"/>
        <v>3</v>
      </c>
      <c r="S320" s="6">
        <f t="shared" si="23"/>
        <v>3</v>
      </c>
      <c r="T320" s="5">
        <f t="shared" si="24"/>
        <v>3</v>
      </c>
    </row>
    <row r="321" spans="2:20" x14ac:dyDescent="0.25">
      <c r="B321" t="s">
        <v>146</v>
      </c>
      <c r="C321">
        <v>4</v>
      </c>
      <c r="D321">
        <v>5</v>
      </c>
      <c r="E321">
        <v>4</v>
      </c>
      <c r="F321">
        <v>3</v>
      </c>
      <c r="G321">
        <v>1</v>
      </c>
      <c r="H321">
        <v>1</v>
      </c>
      <c r="I321">
        <v>1</v>
      </c>
      <c r="J321">
        <v>3</v>
      </c>
      <c r="K321">
        <v>1</v>
      </c>
      <c r="L321">
        <v>5</v>
      </c>
      <c r="M321">
        <v>3</v>
      </c>
      <c r="N321">
        <v>31</v>
      </c>
      <c r="O321" s="1">
        <v>31</v>
      </c>
      <c r="P321" s="11">
        <f t="shared" si="20"/>
        <v>2.8181818181818183</v>
      </c>
      <c r="Q321" s="11">
        <f t="shared" si="21"/>
        <v>9.3939393939393948E-2</v>
      </c>
      <c r="R321" s="19">
        <f t="shared" si="22"/>
        <v>3</v>
      </c>
      <c r="S321" s="6">
        <f t="shared" si="23"/>
        <v>1</v>
      </c>
      <c r="T321" s="5">
        <f t="shared" si="24"/>
        <v>1</v>
      </c>
    </row>
    <row r="322" spans="2:20" x14ac:dyDescent="0.25">
      <c r="B322" t="s">
        <v>925</v>
      </c>
      <c r="I322">
        <v>1</v>
      </c>
      <c r="J322">
        <v>2</v>
      </c>
      <c r="K322">
        <v>7</v>
      </c>
      <c r="L322">
        <v>1</v>
      </c>
      <c r="N322">
        <v>11</v>
      </c>
      <c r="O322" s="1">
        <v>11</v>
      </c>
      <c r="P322" s="11">
        <f t="shared" si="20"/>
        <v>1</v>
      </c>
      <c r="Q322" s="11">
        <f t="shared" si="21"/>
        <v>3.3333333333333333E-2</v>
      </c>
      <c r="R322" s="19">
        <f t="shared" si="22"/>
        <v>1</v>
      </c>
      <c r="S322" s="6">
        <f t="shared" si="23"/>
        <v>1</v>
      </c>
      <c r="T322" s="5">
        <f t="shared" si="24"/>
        <v>1</v>
      </c>
    </row>
    <row r="323" spans="2:20" x14ac:dyDescent="0.25">
      <c r="B323" t="s">
        <v>147</v>
      </c>
      <c r="C323">
        <v>1</v>
      </c>
      <c r="E323">
        <v>1</v>
      </c>
      <c r="F323">
        <v>6</v>
      </c>
      <c r="G323">
        <v>4</v>
      </c>
      <c r="H323">
        <v>2</v>
      </c>
      <c r="I323">
        <v>4</v>
      </c>
      <c r="N323">
        <v>18</v>
      </c>
      <c r="O323" s="1">
        <v>18</v>
      </c>
      <c r="P323" s="11">
        <f t="shared" si="20"/>
        <v>1.6363636363636365</v>
      </c>
      <c r="Q323" s="11">
        <f t="shared" si="21"/>
        <v>5.454545454545455E-2</v>
      </c>
      <c r="R323" s="19">
        <f t="shared" si="22"/>
        <v>1</v>
      </c>
      <c r="S323" s="6">
        <f t="shared" si="23"/>
        <v>1</v>
      </c>
      <c r="T323" s="5">
        <f t="shared" si="24"/>
        <v>1</v>
      </c>
    </row>
    <row r="324" spans="2:20" x14ac:dyDescent="0.25">
      <c r="B324" t="s">
        <v>962</v>
      </c>
      <c r="J324">
        <v>1</v>
      </c>
      <c r="K324">
        <v>1</v>
      </c>
      <c r="M324">
        <v>3</v>
      </c>
      <c r="N324">
        <v>5</v>
      </c>
      <c r="O324" s="1">
        <v>5</v>
      </c>
      <c r="P324" s="11">
        <f t="shared" si="20"/>
        <v>0.45454545454545453</v>
      </c>
      <c r="Q324" s="11">
        <f t="shared" si="21"/>
        <v>1.515151515151515E-2</v>
      </c>
      <c r="R324" s="19">
        <f t="shared" si="22"/>
        <v>1</v>
      </c>
      <c r="S324" s="6">
        <f t="shared" si="23"/>
        <v>1</v>
      </c>
      <c r="T324" s="5">
        <f t="shared" si="24"/>
        <v>1</v>
      </c>
    </row>
    <row r="325" spans="2:20" x14ac:dyDescent="0.25">
      <c r="B325" t="s">
        <v>759</v>
      </c>
      <c r="F325">
        <v>1</v>
      </c>
      <c r="L325">
        <v>1</v>
      </c>
      <c r="M325">
        <v>1</v>
      </c>
      <c r="N325">
        <v>3</v>
      </c>
      <c r="O325" s="1">
        <v>3</v>
      </c>
      <c r="P325" s="11">
        <f t="shared" si="20"/>
        <v>0.27272727272727271</v>
      </c>
      <c r="Q325" s="11">
        <f t="shared" si="21"/>
        <v>9.0909090909090905E-3</v>
      </c>
      <c r="R325" s="19">
        <f t="shared" si="22"/>
        <v>1</v>
      </c>
      <c r="S325" s="6">
        <f t="shared" si="23"/>
        <v>1</v>
      </c>
      <c r="T325" s="5">
        <f t="shared" si="24"/>
        <v>1</v>
      </c>
    </row>
    <row r="326" spans="2:20" x14ac:dyDescent="0.25">
      <c r="B326" t="s">
        <v>148</v>
      </c>
      <c r="C326">
        <v>47</v>
      </c>
      <c r="D326">
        <v>52</v>
      </c>
      <c r="E326">
        <v>32</v>
      </c>
      <c r="F326">
        <v>4</v>
      </c>
      <c r="G326">
        <v>1</v>
      </c>
      <c r="H326">
        <v>10</v>
      </c>
      <c r="J326">
        <v>6</v>
      </c>
      <c r="K326">
        <v>30</v>
      </c>
      <c r="L326">
        <v>10</v>
      </c>
      <c r="M326">
        <v>3</v>
      </c>
      <c r="N326">
        <v>195</v>
      </c>
      <c r="O326" s="1">
        <v>195</v>
      </c>
      <c r="P326" s="11">
        <f t="shared" ref="P326:P389" si="25">O326/11</f>
        <v>17.727272727272727</v>
      </c>
      <c r="Q326" s="11">
        <f t="shared" si="21"/>
        <v>0.59090909090909094</v>
      </c>
      <c r="R326" s="19">
        <f t="shared" si="22"/>
        <v>9</v>
      </c>
      <c r="S326" s="6">
        <f t="shared" si="23"/>
        <v>7</v>
      </c>
      <c r="T326" s="5">
        <f t="shared" si="24"/>
        <v>5</v>
      </c>
    </row>
    <row r="327" spans="2:20" x14ac:dyDescent="0.25">
      <c r="B327" t="s">
        <v>149</v>
      </c>
      <c r="C327">
        <v>16</v>
      </c>
      <c r="D327">
        <v>4</v>
      </c>
      <c r="E327">
        <v>14</v>
      </c>
      <c r="F327">
        <v>16</v>
      </c>
      <c r="G327">
        <v>13</v>
      </c>
      <c r="H327">
        <v>35</v>
      </c>
      <c r="I327">
        <v>19</v>
      </c>
      <c r="J327">
        <v>15</v>
      </c>
      <c r="K327">
        <v>20</v>
      </c>
      <c r="L327">
        <v>10</v>
      </c>
      <c r="M327">
        <v>13</v>
      </c>
      <c r="N327">
        <v>175</v>
      </c>
      <c r="O327" s="1">
        <v>175</v>
      </c>
      <c r="P327" s="11">
        <f t="shared" si="25"/>
        <v>15.909090909090908</v>
      </c>
      <c r="Q327" s="11">
        <f t="shared" ref="Q327:Q390" si="26">P327/30</f>
        <v>0.53030303030303028</v>
      </c>
      <c r="R327" s="19">
        <f t="shared" ref="R327:R390" si="27">ODD(Q327*14)</f>
        <v>9</v>
      </c>
      <c r="S327" s="6">
        <f t="shared" ref="S327:S390" si="28">ODD(Q327*10.5)</f>
        <v>7</v>
      </c>
      <c r="T327" s="5">
        <f t="shared" ref="T327:T390" si="29">ODD(Q327*7)</f>
        <v>5</v>
      </c>
    </row>
    <row r="328" spans="2:20" x14ac:dyDescent="0.25">
      <c r="B328" t="s">
        <v>150</v>
      </c>
      <c r="C328">
        <v>0</v>
      </c>
      <c r="E328">
        <v>2</v>
      </c>
      <c r="F328">
        <v>1</v>
      </c>
      <c r="G328">
        <v>2</v>
      </c>
      <c r="H328">
        <v>1</v>
      </c>
      <c r="I328">
        <v>3</v>
      </c>
      <c r="J328">
        <v>7</v>
      </c>
      <c r="K328">
        <v>1</v>
      </c>
      <c r="L328">
        <v>1</v>
      </c>
      <c r="N328">
        <v>18</v>
      </c>
      <c r="O328" s="1">
        <v>18</v>
      </c>
      <c r="P328" s="11">
        <f t="shared" si="25"/>
        <v>1.6363636363636365</v>
      </c>
      <c r="Q328" s="11">
        <f t="shared" si="26"/>
        <v>5.454545454545455E-2</v>
      </c>
      <c r="R328" s="19">
        <f t="shared" si="27"/>
        <v>1</v>
      </c>
      <c r="S328" s="6">
        <f t="shared" si="28"/>
        <v>1</v>
      </c>
      <c r="T328" s="5">
        <f t="shared" si="29"/>
        <v>1</v>
      </c>
    </row>
    <row r="329" spans="2:20" x14ac:dyDescent="0.25">
      <c r="B329" t="s">
        <v>542</v>
      </c>
      <c r="D329">
        <v>1</v>
      </c>
      <c r="E329">
        <v>1</v>
      </c>
      <c r="K329">
        <v>1</v>
      </c>
      <c r="L329">
        <v>1</v>
      </c>
      <c r="N329">
        <v>4</v>
      </c>
      <c r="O329" s="1">
        <v>4</v>
      </c>
      <c r="P329" s="11">
        <f t="shared" si="25"/>
        <v>0.36363636363636365</v>
      </c>
      <c r="Q329" s="11">
        <f t="shared" si="26"/>
        <v>1.2121212121212121E-2</v>
      </c>
      <c r="R329" s="19">
        <f t="shared" si="27"/>
        <v>1</v>
      </c>
      <c r="S329" s="6">
        <f t="shared" si="28"/>
        <v>1</v>
      </c>
      <c r="T329" s="5">
        <f t="shared" si="29"/>
        <v>1</v>
      </c>
    </row>
    <row r="330" spans="2:20" x14ac:dyDescent="0.25">
      <c r="B330" t="s">
        <v>760</v>
      </c>
      <c r="F330">
        <v>3</v>
      </c>
      <c r="N330">
        <v>3</v>
      </c>
      <c r="O330" s="1">
        <v>3</v>
      </c>
      <c r="P330" s="11">
        <f t="shared" si="25"/>
        <v>0.27272727272727271</v>
      </c>
      <c r="Q330" s="11">
        <f t="shared" si="26"/>
        <v>9.0909090909090905E-3</v>
      </c>
      <c r="R330" s="19">
        <f t="shared" si="27"/>
        <v>1</v>
      </c>
      <c r="S330" s="6">
        <f t="shared" si="28"/>
        <v>1</v>
      </c>
      <c r="T330" s="5">
        <f t="shared" si="29"/>
        <v>1</v>
      </c>
    </row>
    <row r="331" spans="2:20" x14ac:dyDescent="0.25">
      <c r="B331" t="s">
        <v>543</v>
      </c>
      <c r="D331">
        <v>2</v>
      </c>
      <c r="E331">
        <v>1</v>
      </c>
      <c r="K331">
        <v>3</v>
      </c>
      <c r="L331">
        <v>1</v>
      </c>
      <c r="M331">
        <v>1</v>
      </c>
      <c r="N331">
        <v>8</v>
      </c>
      <c r="O331" s="1">
        <v>8</v>
      </c>
      <c r="P331" s="11">
        <f t="shared" si="25"/>
        <v>0.72727272727272729</v>
      </c>
      <c r="Q331" s="11">
        <f t="shared" si="26"/>
        <v>2.4242424242424242E-2</v>
      </c>
      <c r="R331" s="19">
        <f t="shared" si="27"/>
        <v>1</v>
      </c>
      <c r="S331" s="6">
        <f t="shared" si="28"/>
        <v>1</v>
      </c>
      <c r="T331" s="5">
        <f t="shared" si="29"/>
        <v>1</v>
      </c>
    </row>
    <row r="332" spans="2:20" x14ac:dyDescent="0.25">
      <c r="B332" t="s">
        <v>822</v>
      </c>
      <c r="G332">
        <v>1</v>
      </c>
      <c r="H332">
        <v>1</v>
      </c>
      <c r="J332">
        <v>1</v>
      </c>
      <c r="K332">
        <v>2</v>
      </c>
      <c r="L332">
        <v>1</v>
      </c>
      <c r="M332">
        <v>1</v>
      </c>
      <c r="N332">
        <v>7</v>
      </c>
      <c r="O332" s="1">
        <v>7</v>
      </c>
      <c r="P332" s="11">
        <f t="shared" si="25"/>
        <v>0.63636363636363635</v>
      </c>
      <c r="Q332" s="11">
        <f t="shared" si="26"/>
        <v>2.1212121212121213E-2</v>
      </c>
      <c r="R332" s="19">
        <f t="shared" si="27"/>
        <v>1</v>
      </c>
      <c r="S332" s="6">
        <f t="shared" si="28"/>
        <v>1</v>
      </c>
      <c r="T332" s="5">
        <f t="shared" si="29"/>
        <v>1</v>
      </c>
    </row>
    <row r="333" spans="2:20" x14ac:dyDescent="0.25">
      <c r="B333" t="s">
        <v>151</v>
      </c>
      <c r="C333">
        <v>2</v>
      </c>
      <c r="D333">
        <v>3</v>
      </c>
      <c r="E333">
        <v>6</v>
      </c>
      <c r="F333">
        <v>1</v>
      </c>
      <c r="G333">
        <v>7</v>
      </c>
      <c r="H333">
        <v>1</v>
      </c>
      <c r="I333">
        <v>3</v>
      </c>
      <c r="J333">
        <v>2</v>
      </c>
      <c r="K333">
        <v>4</v>
      </c>
      <c r="L333">
        <v>4</v>
      </c>
      <c r="M333">
        <v>6</v>
      </c>
      <c r="N333">
        <v>39</v>
      </c>
      <c r="O333" s="1">
        <v>39</v>
      </c>
      <c r="P333" s="11">
        <f t="shared" si="25"/>
        <v>3.5454545454545454</v>
      </c>
      <c r="Q333" s="11">
        <f t="shared" si="26"/>
        <v>0.11818181818181818</v>
      </c>
      <c r="R333" s="19">
        <f t="shared" si="27"/>
        <v>3</v>
      </c>
      <c r="S333" s="6">
        <f t="shared" si="28"/>
        <v>3</v>
      </c>
      <c r="T333" s="5">
        <f t="shared" si="29"/>
        <v>1</v>
      </c>
    </row>
    <row r="334" spans="2:20" x14ac:dyDescent="0.25">
      <c r="B334" t="s">
        <v>152</v>
      </c>
      <c r="C334">
        <v>2</v>
      </c>
      <c r="N334">
        <v>2</v>
      </c>
      <c r="O334" s="1">
        <v>2</v>
      </c>
      <c r="P334" s="11">
        <f t="shared" si="25"/>
        <v>0.18181818181818182</v>
      </c>
      <c r="Q334" s="11">
        <f t="shared" si="26"/>
        <v>6.0606060606060606E-3</v>
      </c>
      <c r="R334" s="19">
        <f t="shared" si="27"/>
        <v>1</v>
      </c>
      <c r="S334" s="6">
        <f t="shared" si="28"/>
        <v>1</v>
      </c>
      <c r="T334" s="5">
        <f t="shared" si="29"/>
        <v>1</v>
      </c>
    </row>
    <row r="335" spans="2:20" x14ac:dyDescent="0.25">
      <c r="B335" t="s">
        <v>153</v>
      </c>
      <c r="C335">
        <v>6</v>
      </c>
      <c r="D335">
        <v>6</v>
      </c>
      <c r="E335">
        <v>3</v>
      </c>
      <c r="F335">
        <v>2</v>
      </c>
      <c r="G335">
        <v>6</v>
      </c>
      <c r="H335">
        <v>5</v>
      </c>
      <c r="I335">
        <v>6</v>
      </c>
      <c r="J335">
        <v>5</v>
      </c>
      <c r="K335">
        <v>4</v>
      </c>
      <c r="L335">
        <v>2</v>
      </c>
      <c r="M335">
        <v>8</v>
      </c>
      <c r="N335">
        <v>53</v>
      </c>
      <c r="O335" s="1">
        <v>53</v>
      </c>
      <c r="P335" s="11">
        <f t="shared" si="25"/>
        <v>4.8181818181818183</v>
      </c>
      <c r="Q335" s="11">
        <f t="shared" si="26"/>
        <v>0.16060606060606061</v>
      </c>
      <c r="R335" s="19">
        <f t="shared" si="27"/>
        <v>3</v>
      </c>
      <c r="S335" s="6">
        <f t="shared" si="28"/>
        <v>3</v>
      </c>
      <c r="T335" s="5">
        <f t="shared" si="29"/>
        <v>3</v>
      </c>
    </row>
    <row r="336" spans="2:20" x14ac:dyDescent="0.25">
      <c r="B336" t="s">
        <v>544</v>
      </c>
      <c r="D336">
        <v>1</v>
      </c>
      <c r="G336">
        <v>2</v>
      </c>
      <c r="J336">
        <v>1</v>
      </c>
      <c r="N336">
        <v>4</v>
      </c>
      <c r="O336" s="1">
        <v>4</v>
      </c>
      <c r="P336" s="11">
        <f t="shared" si="25"/>
        <v>0.36363636363636365</v>
      </c>
      <c r="Q336" s="11">
        <f t="shared" si="26"/>
        <v>1.2121212121212121E-2</v>
      </c>
      <c r="R336" s="19">
        <f t="shared" si="27"/>
        <v>1</v>
      </c>
      <c r="S336" s="6">
        <f t="shared" si="28"/>
        <v>1</v>
      </c>
      <c r="T336" s="5">
        <f t="shared" si="29"/>
        <v>1</v>
      </c>
    </row>
    <row r="337" spans="2:20" x14ac:dyDescent="0.25">
      <c r="B337" t="s">
        <v>761</v>
      </c>
      <c r="F337">
        <v>1</v>
      </c>
      <c r="N337">
        <v>1</v>
      </c>
      <c r="O337" s="1">
        <v>1</v>
      </c>
      <c r="P337" s="11">
        <f t="shared" si="25"/>
        <v>9.0909090909090912E-2</v>
      </c>
      <c r="Q337" s="11">
        <f t="shared" si="26"/>
        <v>3.0303030303030303E-3</v>
      </c>
      <c r="R337" s="19">
        <f t="shared" si="27"/>
        <v>1</v>
      </c>
      <c r="S337" s="6">
        <f t="shared" si="28"/>
        <v>1</v>
      </c>
      <c r="T337" s="5">
        <f t="shared" si="29"/>
        <v>1</v>
      </c>
    </row>
    <row r="338" spans="2:20" x14ac:dyDescent="0.25">
      <c r="B338" t="s">
        <v>670</v>
      </c>
      <c r="E338">
        <v>1</v>
      </c>
      <c r="N338">
        <v>1</v>
      </c>
      <c r="O338" s="1">
        <v>1</v>
      </c>
      <c r="P338" s="11">
        <f t="shared" si="25"/>
        <v>9.0909090909090912E-2</v>
      </c>
      <c r="Q338" s="11">
        <f t="shared" si="26"/>
        <v>3.0303030303030303E-3</v>
      </c>
      <c r="R338" s="19">
        <f t="shared" si="27"/>
        <v>1</v>
      </c>
      <c r="S338" s="6">
        <f t="shared" si="28"/>
        <v>1</v>
      </c>
      <c r="T338" s="5">
        <f t="shared" si="29"/>
        <v>1</v>
      </c>
    </row>
    <row r="339" spans="2:20" x14ac:dyDescent="0.25">
      <c r="B339" t="s">
        <v>823</v>
      </c>
      <c r="G339">
        <v>1</v>
      </c>
      <c r="K339">
        <v>1</v>
      </c>
      <c r="L339">
        <v>2</v>
      </c>
      <c r="N339">
        <v>4</v>
      </c>
      <c r="O339" s="1">
        <v>4</v>
      </c>
      <c r="P339" s="11">
        <f t="shared" si="25"/>
        <v>0.36363636363636365</v>
      </c>
      <c r="Q339" s="11">
        <f t="shared" si="26"/>
        <v>1.2121212121212121E-2</v>
      </c>
      <c r="R339" s="19">
        <f t="shared" si="27"/>
        <v>1</v>
      </c>
      <c r="S339" s="6">
        <f t="shared" si="28"/>
        <v>1</v>
      </c>
      <c r="T339" s="5">
        <f t="shared" si="29"/>
        <v>1</v>
      </c>
    </row>
    <row r="340" spans="2:20" x14ac:dyDescent="0.25">
      <c r="B340" t="s">
        <v>545</v>
      </c>
      <c r="D340">
        <v>1</v>
      </c>
      <c r="N340">
        <v>1</v>
      </c>
      <c r="O340" s="1">
        <v>1</v>
      </c>
      <c r="P340" s="11">
        <f t="shared" si="25"/>
        <v>9.0909090909090912E-2</v>
      </c>
      <c r="Q340" s="11">
        <f t="shared" si="26"/>
        <v>3.0303030303030303E-3</v>
      </c>
      <c r="R340" s="19">
        <f t="shared" si="27"/>
        <v>1</v>
      </c>
      <c r="S340" s="6">
        <f t="shared" si="28"/>
        <v>1</v>
      </c>
      <c r="T340" s="5">
        <f t="shared" si="29"/>
        <v>1</v>
      </c>
    </row>
    <row r="341" spans="2:20" x14ac:dyDescent="0.25">
      <c r="B341" t="s">
        <v>875</v>
      </c>
      <c r="H341">
        <v>1</v>
      </c>
      <c r="L341">
        <v>2</v>
      </c>
      <c r="N341">
        <v>3</v>
      </c>
      <c r="O341" s="1">
        <v>3</v>
      </c>
      <c r="P341" s="11">
        <f t="shared" si="25"/>
        <v>0.27272727272727271</v>
      </c>
      <c r="Q341" s="11">
        <f t="shared" si="26"/>
        <v>9.0909090909090905E-3</v>
      </c>
      <c r="R341" s="19">
        <f t="shared" si="27"/>
        <v>1</v>
      </c>
      <c r="S341" s="6">
        <f t="shared" si="28"/>
        <v>1</v>
      </c>
      <c r="T341" s="5">
        <f t="shared" si="29"/>
        <v>1</v>
      </c>
    </row>
    <row r="342" spans="2:20" x14ac:dyDescent="0.25">
      <c r="B342" t="s">
        <v>546</v>
      </c>
      <c r="D342">
        <v>3</v>
      </c>
      <c r="E342">
        <v>2</v>
      </c>
      <c r="F342">
        <v>2</v>
      </c>
      <c r="H342">
        <v>2</v>
      </c>
      <c r="I342">
        <v>3</v>
      </c>
      <c r="J342">
        <v>4</v>
      </c>
      <c r="K342">
        <v>2</v>
      </c>
      <c r="L342">
        <v>2</v>
      </c>
      <c r="M342">
        <v>3</v>
      </c>
      <c r="N342">
        <v>23</v>
      </c>
      <c r="O342" s="1">
        <v>23</v>
      </c>
      <c r="P342" s="11">
        <f t="shared" si="25"/>
        <v>2.0909090909090908</v>
      </c>
      <c r="Q342" s="11">
        <f t="shared" si="26"/>
        <v>6.9696969696969688E-2</v>
      </c>
      <c r="R342" s="19">
        <f t="shared" si="27"/>
        <v>1</v>
      </c>
      <c r="S342" s="6">
        <f t="shared" si="28"/>
        <v>1</v>
      </c>
      <c r="T342" s="5">
        <f t="shared" si="29"/>
        <v>1</v>
      </c>
    </row>
    <row r="343" spans="2:20" x14ac:dyDescent="0.25">
      <c r="B343" t="s">
        <v>154</v>
      </c>
      <c r="C343">
        <v>1</v>
      </c>
      <c r="K343">
        <v>1</v>
      </c>
      <c r="L343">
        <v>1</v>
      </c>
      <c r="M343">
        <v>3</v>
      </c>
      <c r="N343">
        <v>6</v>
      </c>
      <c r="O343" s="1">
        <v>6</v>
      </c>
      <c r="P343" s="11">
        <f t="shared" si="25"/>
        <v>0.54545454545454541</v>
      </c>
      <c r="Q343" s="11">
        <f t="shared" si="26"/>
        <v>1.8181818181818181E-2</v>
      </c>
      <c r="R343" s="19">
        <f t="shared" si="27"/>
        <v>1</v>
      </c>
      <c r="S343" s="6">
        <f t="shared" si="28"/>
        <v>1</v>
      </c>
      <c r="T343" s="5">
        <f t="shared" si="29"/>
        <v>1</v>
      </c>
    </row>
    <row r="344" spans="2:20" x14ac:dyDescent="0.25">
      <c r="B344" t="s">
        <v>155</v>
      </c>
      <c r="C344">
        <v>1</v>
      </c>
      <c r="E344">
        <v>1</v>
      </c>
      <c r="H344">
        <v>1</v>
      </c>
      <c r="K344">
        <v>1</v>
      </c>
      <c r="N344">
        <v>4</v>
      </c>
      <c r="O344" s="1">
        <v>4</v>
      </c>
      <c r="P344" s="11">
        <f t="shared" si="25"/>
        <v>0.36363636363636365</v>
      </c>
      <c r="Q344" s="11">
        <f t="shared" si="26"/>
        <v>1.2121212121212121E-2</v>
      </c>
      <c r="R344" s="19">
        <f t="shared" si="27"/>
        <v>1</v>
      </c>
      <c r="S344" s="6">
        <f t="shared" si="28"/>
        <v>1</v>
      </c>
      <c r="T344" s="5">
        <f t="shared" si="29"/>
        <v>1</v>
      </c>
    </row>
    <row r="345" spans="2:20" x14ac:dyDescent="0.25">
      <c r="B345" t="s">
        <v>762</v>
      </c>
      <c r="F345">
        <v>1</v>
      </c>
      <c r="H345">
        <v>1</v>
      </c>
      <c r="I345">
        <v>1</v>
      </c>
      <c r="N345">
        <v>3</v>
      </c>
      <c r="O345" s="1">
        <v>3</v>
      </c>
      <c r="P345" s="11">
        <f t="shared" si="25"/>
        <v>0.27272727272727271</v>
      </c>
      <c r="Q345" s="11">
        <f t="shared" si="26"/>
        <v>9.0909090909090905E-3</v>
      </c>
      <c r="R345" s="19">
        <f t="shared" si="27"/>
        <v>1</v>
      </c>
      <c r="S345" s="6">
        <f t="shared" si="28"/>
        <v>1</v>
      </c>
      <c r="T345" s="5">
        <f t="shared" si="29"/>
        <v>1</v>
      </c>
    </row>
    <row r="346" spans="2:20" x14ac:dyDescent="0.25">
      <c r="B346" t="s">
        <v>547</v>
      </c>
      <c r="D346">
        <v>6</v>
      </c>
      <c r="E346">
        <v>5</v>
      </c>
      <c r="G346">
        <v>1</v>
      </c>
      <c r="I346">
        <v>1</v>
      </c>
      <c r="K346">
        <v>4</v>
      </c>
      <c r="L346">
        <v>1</v>
      </c>
      <c r="M346">
        <v>7</v>
      </c>
      <c r="N346">
        <v>25</v>
      </c>
      <c r="O346" s="1">
        <v>25</v>
      </c>
      <c r="P346" s="11">
        <f t="shared" si="25"/>
        <v>2.2727272727272729</v>
      </c>
      <c r="Q346" s="11">
        <f t="shared" si="26"/>
        <v>7.575757575757576E-2</v>
      </c>
      <c r="R346" s="19">
        <f t="shared" si="27"/>
        <v>3</v>
      </c>
      <c r="S346" s="6">
        <f t="shared" si="28"/>
        <v>1</v>
      </c>
      <c r="T346" s="5">
        <f t="shared" si="29"/>
        <v>1</v>
      </c>
    </row>
    <row r="347" spans="2:20" x14ac:dyDescent="0.25">
      <c r="B347" t="s">
        <v>156</v>
      </c>
      <c r="C347">
        <v>1</v>
      </c>
      <c r="H347">
        <v>1</v>
      </c>
      <c r="I347">
        <v>2</v>
      </c>
      <c r="J347">
        <v>1</v>
      </c>
      <c r="K347">
        <v>2</v>
      </c>
      <c r="L347">
        <v>1</v>
      </c>
      <c r="M347">
        <v>1</v>
      </c>
      <c r="N347">
        <v>9</v>
      </c>
      <c r="O347" s="1">
        <v>9</v>
      </c>
      <c r="P347" s="11">
        <f t="shared" si="25"/>
        <v>0.81818181818181823</v>
      </c>
      <c r="Q347" s="11">
        <f t="shared" si="26"/>
        <v>2.7272727272727275E-2</v>
      </c>
      <c r="R347" s="19">
        <f t="shared" si="27"/>
        <v>1</v>
      </c>
      <c r="S347" s="6">
        <f t="shared" si="28"/>
        <v>1</v>
      </c>
      <c r="T347" s="5">
        <f t="shared" si="29"/>
        <v>1</v>
      </c>
    </row>
    <row r="348" spans="2:20" x14ac:dyDescent="0.25">
      <c r="B348" t="s">
        <v>157</v>
      </c>
      <c r="C348">
        <v>2</v>
      </c>
      <c r="D348">
        <v>2</v>
      </c>
      <c r="I348">
        <v>2</v>
      </c>
      <c r="J348">
        <v>1</v>
      </c>
      <c r="K348">
        <v>4</v>
      </c>
      <c r="L348">
        <v>1</v>
      </c>
      <c r="M348">
        <v>1</v>
      </c>
      <c r="N348">
        <v>13</v>
      </c>
      <c r="O348" s="1">
        <v>13</v>
      </c>
      <c r="P348" s="11">
        <f t="shared" si="25"/>
        <v>1.1818181818181819</v>
      </c>
      <c r="Q348" s="11">
        <f t="shared" si="26"/>
        <v>3.9393939393939398E-2</v>
      </c>
      <c r="R348" s="19">
        <f t="shared" si="27"/>
        <v>1</v>
      </c>
      <c r="S348" s="6">
        <f t="shared" si="28"/>
        <v>1</v>
      </c>
      <c r="T348" s="5">
        <f t="shared" si="29"/>
        <v>1</v>
      </c>
    </row>
    <row r="349" spans="2:20" x14ac:dyDescent="0.25">
      <c r="B349" t="s">
        <v>158</v>
      </c>
      <c r="C349">
        <v>5</v>
      </c>
      <c r="D349">
        <v>5</v>
      </c>
      <c r="E349">
        <v>4</v>
      </c>
      <c r="F349">
        <v>1</v>
      </c>
      <c r="G349">
        <v>0</v>
      </c>
      <c r="H349">
        <v>7</v>
      </c>
      <c r="I349">
        <v>1</v>
      </c>
      <c r="J349">
        <v>6</v>
      </c>
      <c r="K349">
        <v>5</v>
      </c>
      <c r="L349">
        <v>2</v>
      </c>
      <c r="M349">
        <v>1</v>
      </c>
      <c r="N349">
        <v>37</v>
      </c>
      <c r="O349" s="1">
        <v>37</v>
      </c>
      <c r="P349" s="11">
        <f t="shared" si="25"/>
        <v>3.3636363636363638</v>
      </c>
      <c r="Q349" s="11">
        <f t="shared" si="26"/>
        <v>0.11212121212121212</v>
      </c>
      <c r="R349" s="19">
        <f t="shared" si="27"/>
        <v>3</v>
      </c>
      <c r="S349" s="6">
        <f t="shared" si="28"/>
        <v>3</v>
      </c>
      <c r="T349" s="5">
        <f t="shared" si="29"/>
        <v>1</v>
      </c>
    </row>
    <row r="350" spans="2:20" x14ac:dyDescent="0.25">
      <c r="B350" t="s">
        <v>159</v>
      </c>
      <c r="C350">
        <v>19</v>
      </c>
      <c r="D350">
        <v>2</v>
      </c>
      <c r="E350">
        <v>5</v>
      </c>
      <c r="F350">
        <v>1</v>
      </c>
      <c r="G350">
        <v>11</v>
      </c>
      <c r="H350">
        <v>8</v>
      </c>
      <c r="I350">
        <v>1</v>
      </c>
      <c r="J350">
        <v>1</v>
      </c>
      <c r="K350">
        <v>3</v>
      </c>
      <c r="M350">
        <v>4</v>
      </c>
      <c r="N350">
        <v>55</v>
      </c>
      <c r="O350" s="1">
        <v>55</v>
      </c>
      <c r="P350" s="11">
        <f t="shared" si="25"/>
        <v>5</v>
      </c>
      <c r="Q350" s="11">
        <f t="shared" si="26"/>
        <v>0.16666666666666666</v>
      </c>
      <c r="R350" s="19">
        <f t="shared" si="27"/>
        <v>3</v>
      </c>
      <c r="S350" s="6">
        <f t="shared" si="28"/>
        <v>3</v>
      </c>
      <c r="T350" s="5">
        <f t="shared" si="29"/>
        <v>3</v>
      </c>
    </row>
    <row r="351" spans="2:20" x14ac:dyDescent="0.25">
      <c r="B351" t="s">
        <v>876</v>
      </c>
      <c r="H351">
        <v>2</v>
      </c>
      <c r="L351">
        <v>2</v>
      </c>
      <c r="M351">
        <v>1</v>
      </c>
      <c r="N351">
        <v>5</v>
      </c>
      <c r="O351" s="1">
        <v>5</v>
      </c>
      <c r="P351" s="11">
        <f t="shared" si="25"/>
        <v>0.45454545454545453</v>
      </c>
      <c r="Q351" s="11">
        <f t="shared" si="26"/>
        <v>1.515151515151515E-2</v>
      </c>
      <c r="R351" s="19">
        <f t="shared" si="27"/>
        <v>1</v>
      </c>
      <c r="S351" s="6">
        <f t="shared" si="28"/>
        <v>1</v>
      </c>
      <c r="T351" s="5">
        <f t="shared" si="29"/>
        <v>1</v>
      </c>
    </row>
    <row r="352" spans="2:20" x14ac:dyDescent="0.25">
      <c r="B352" t="s">
        <v>160</v>
      </c>
      <c r="C352">
        <v>67</v>
      </c>
      <c r="D352">
        <v>12</v>
      </c>
      <c r="E352">
        <v>11</v>
      </c>
      <c r="F352">
        <v>11</v>
      </c>
      <c r="G352">
        <v>9</v>
      </c>
      <c r="H352">
        <v>16</v>
      </c>
      <c r="I352">
        <v>32</v>
      </c>
      <c r="J352">
        <v>22</v>
      </c>
      <c r="K352">
        <v>16</v>
      </c>
      <c r="L352">
        <v>30</v>
      </c>
      <c r="M352">
        <v>42</v>
      </c>
      <c r="N352">
        <v>268</v>
      </c>
      <c r="O352" s="1">
        <v>268</v>
      </c>
      <c r="P352" s="11">
        <f t="shared" si="25"/>
        <v>24.363636363636363</v>
      </c>
      <c r="Q352" s="11">
        <f t="shared" si="26"/>
        <v>0.81212121212121213</v>
      </c>
      <c r="R352" s="19">
        <f t="shared" si="27"/>
        <v>13</v>
      </c>
      <c r="S352" s="6">
        <f t="shared" si="28"/>
        <v>9</v>
      </c>
      <c r="T352" s="5">
        <f t="shared" si="29"/>
        <v>7</v>
      </c>
    </row>
    <row r="353" spans="2:20" x14ac:dyDescent="0.25">
      <c r="B353" t="s">
        <v>877</v>
      </c>
      <c r="H353">
        <v>2</v>
      </c>
      <c r="J353">
        <v>2</v>
      </c>
      <c r="M353">
        <v>3</v>
      </c>
      <c r="N353">
        <v>7</v>
      </c>
      <c r="O353" s="1">
        <v>7</v>
      </c>
      <c r="P353" s="11">
        <f t="shared" si="25"/>
        <v>0.63636363636363635</v>
      </c>
      <c r="Q353" s="11">
        <f t="shared" si="26"/>
        <v>2.1212121212121213E-2</v>
      </c>
      <c r="R353" s="19">
        <f t="shared" si="27"/>
        <v>1</v>
      </c>
      <c r="S353" s="6">
        <f t="shared" si="28"/>
        <v>1</v>
      </c>
      <c r="T353" s="5">
        <f t="shared" si="29"/>
        <v>1</v>
      </c>
    </row>
    <row r="354" spans="2:20" x14ac:dyDescent="0.25">
      <c r="B354" t="s">
        <v>548</v>
      </c>
      <c r="D354">
        <v>1</v>
      </c>
      <c r="H354">
        <v>1</v>
      </c>
      <c r="J354">
        <v>2</v>
      </c>
      <c r="L354">
        <v>1</v>
      </c>
      <c r="M354">
        <v>1</v>
      </c>
      <c r="N354">
        <v>6</v>
      </c>
      <c r="O354" s="1">
        <v>6</v>
      </c>
      <c r="P354" s="11">
        <f t="shared" si="25"/>
        <v>0.54545454545454541</v>
      </c>
      <c r="Q354" s="11">
        <f t="shared" si="26"/>
        <v>1.8181818181818181E-2</v>
      </c>
      <c r="R354" s="19">
        <f t="shared" si="27"/>
        <v>1</v>
      </c>
      <c r="S354" s="6">
        <f t="shared" si="28"/>
        <v>1</v>
      </c>
      <c r="T354" s="5">
        <f t="shared" si="29"/>
        <v>1</v>
      </c>
    </row>
    <row r="355" spans="2:20" x14ac:dyDescent="0.25">
      <c r="B355" t="s">
        <v>926</v>
      </c>
      <c r="I355">
        <v>44</v>
      </c>
      <c r="J355">
        <v>16</v>
      </c>
      <c r="N355">
        <v>60</v>
      </c>
      <c r="O355" s="1">
        <v>60</v>
      </c>
      <c r="P355" s="11">
        <f t="shared" si="25"/>
        <v>5.4545454545454541</v>
      </c>
      <c r="Q355" s="11">
        <f t="shared" si="26"/>
        <v>0.1818181818181818</v>
      </c>
      <c r="R355" s="19">
        <f t="shared" si="27"/>
        <v>3</v>
      </c>
      <c r="S355" s="6">
        <f t="shared" si="28"/>
        <v>3</v>
      </c>
      <c r="T355" s="5">
        <f t="shared" si="29"/>
        <v>3</v>
      </c>
    </row>
    <row r="356" spans="2:20" x14ac:dyDescent="0.25">
      <c r="B356" t="s">
        <v>927</v>
      </c>
      <c r="I356">
        <v>57</v>
      </c>
      <c r="J356">
        <v>3</v>
      </c>
      <c r="N356">
        <v>60</v>
      </c>
      <c r="O356" s="1">
        <v>60</v>
      </c>
      <c r="P356" s="11">
        <f t="shared" si="25"/>
        <v>5.4545454545454541</v>
      </c>
      <c r="Q356" s="11">
        <f t="shared" si="26"/>
        <v>0.1818181818181818</v>
      </c>
      <c r="R356" s="19">
        <f t="shared" si="27"/>
        <v>3</v>
      </c>
      <c r="S356" s="6">
        <f t="shared" si="28"/>
        <v>3</v>
      </c>
      <c r="T356" s="5">
        <f t="shared" si="29"/>
        <v>3</v>
      </c>
    </row>
    <row r="357" spans="2:20" x14ac:dyDescent="0.25">
      <c r="B357" t="s">
        <v>824</v>
      </c>
      <c r="G357">
        <v>1</v>
      </c>
      <c r="I357">
        <v>1</v>
      </c>
      <c r="J357">
        <v>2</v>
      </c>
      <c r="K357">
        <v>1</v>
      </c>
      <c r="L357">
        <v>2</v>
      </c>
      <c r="N357">
        <v>7</v>
      </c>
      <c r="O357" s="1">
        <v>7</v>
      </c>
      <c r="P357" s="11">
        <f t="shared" si="25"/>
        <v>0.63636363636363635</v>
      </c>
      <c r="Q357" s="11">
        <f t="shared" si="26"/>
        <v>2.1212121212121213E-2</v>
      </c>
      <c r="R357" s="19">
        <f t="shared" si="27"/>
        <v>1</v>
      </c>
      <c r="S357" s="6">
        <f t="shared" si="28"/>
        <v>1</v>
      </c>
      <c r="T357" s="5">
        <f t="shared" si="29"/>
        <v>1</v>
      </c>
    </row>
    <row r="358" spans="2:20" x14ac:dyDescent="0.25">
      <c r="B358" t="s">
        <v>963</v>
      </c>
      <c r="J358">
        <v>1</v>
      </c>
      <c r="N358">
        <v>1</v>
      </c>
      <c r="O358" s="1">
        <v>1</v>
      </c>
      <c r="P358" s="11">
        <f t="shared" si="25"/>
        <v>9.0909090909090912E-2</v>
      </c>
      <c r="Q358" s="11">
        <f t="shared" si="26"/>
        <v>3.0303030303030303E-3</v>
      </c>
      <c r="R358" s="19">
        <f t="shared" si="27"/>
        <v>1</v>
      </c>
      <c r="S358" s="6">
        <f t="shared" si="28"/>
        <v>1</v>
      </c>
      <c r="T358" s="5">
        <f t="shared" si="29"/>
        <v>1</v>
      </c>
    </row>
    <row r="359" spans="2:20" x14ac:dyDescent="0.25">
      <c r="B359" t="s">
        <v>161</v>
      </c>
      <c r="C359">
        <v>2</v>
      </c>
      <c r="E359">
        <v>1</v>
      </c>
      <c r="K359">
        <v>1</v>
      </c>
      <c r="L359">
        <v>1</v>
      </c>
      <c r="M359">
        <v>3</v>
      </c>
      <c r="N359">
        <v>8</v>
      </c>
      <c r="O359" s="1">
        <v>8</v>
      </c>
      <c r="P359" s="11">
        <f t="shared" si="25"/>
        <v>0.72727272727272729</v>
      </c>
      <c r="Q359" s="11">
        <f t="shared" si="26"/>
        <v>2.4242424242424242E-2</v>
      </c>
      <c r="R359" s="19">
        <f t="shared" si="27"/>
        <v>1</v>
      </c>
      <c r="S359" s="6">
        <f t="shared" si="28"/>
        <v>1</v>
      </c>
      <c r="T359" s="5">
        <f t="shared" si="29"/>
        <v>1</v>
      </c>
    </row>
    <row r="360" spans="2:20" x14ac:dyDescent="0.25">
      <c r="B360" t="s">
        <v>162</v>
      </c>
      <c r="C360">
        <v>3</v>
      </c>
      <c r="D360">
        <v>3</v>
      </c>
      <c r="E360">
        <v>5</v>
      </c>
      <c r="F360">
        <v>6</v>
      </c>
      <c r="G360">
        <v>8</v>
      </c>
      <c r="H360">
        <v>7</v>
      </c>
      <c r="I360">
        <v>2</v>
      </c>
      <c r="J360">
        <v>2</v>
      </c>
      <c r="K360">
        <v>5</v>
      </c>
      <c r="L360">
        <v>3</v>
      </c>
      <c r="M360">
        <v>5</v>
      </c>
      <c r="N360">
        <v>49</v>
      </c>
      <c r="O360" s="1">
        <v>49</v>
      </c>
      <c r="P360" s="11">
        <f t="shared" si="25"/>
        <v>4.4545454545454541</v>
      </c>
      <c r="Q360" s="11">
        <f t="shared" si="26"/>
        <v>0.14848484848484847</v>
      </c>
      <c r="R360" s="19">
        <f t="shared" si="27"/>
        <v>3</v>
      </c>
      <c r="S360" s="6">
        <f t="shared" si="28"/>
        <v>3</v>
      </c>
      <c r="T360" s="5">
        <f t="shared" si="29"/>
        <v>3</v>
      </c>
    </row>
    <row r="361" spans="2:20" x14ac:dyDescent="0.25">
      <c r="B361" t="s">
        <v>549</v>
      </c>
      <c r="D361">
        <v>2</v>
      </c>
      <c r="J361">
        <v>1</v>
      </c>
      <c r="L361">
        <v>1</v>
      </c>
      <c r="N361">
        <v>4</v>
      </c>
      <c r="O361" s="1">
        <v>4</v>
      </c>
      <c r="P361" s="11">
        <f t="shared" si="25"/>
        <v>0.36363636363636365</v>
      </c>
      <c r="Q361" s="11">
        <f t="shared" si="26"/>
        <v>1.2121212121212121E-2</v>
      </c>
      <c r="R361" s="19">
        <f t="shared" si="27"/>
        <v>1</v>
      </c>
      <c r="S361" s="6">
        <f t="shared" si="28"/>
        <v>1</v>
      </c>
      <c r="T361" s="5">
        <f t="shared" si="29"/>
        <v>1</v>
      </c>
    </row>
    <row r="362" spans="2:20" x14ac:dyDescent="0.25">
      <c r="B362" t="s">
        <v>550</v>
      </c>
      <c r="D362">
        <v>6</v>
      </c>
      <c r="E362">
        <v>15</v>
      </c>
      <c r="G362">
        <v>2</v>
      </c>
      <c r="H362">
        <v>15</v>
      </c>
      <c r="I362">
        <v>1</v>
      </c>
      <c r="L362">
        <v>9</v>
      </c>
      <c r="N362">
        <v>48</v>
      </c>
      <c r="O362" s="1">
        <v>48</v>
      </c>
      <c r="P362" s="11">
        <f t="shared" si="25"/>
        <v>4.3636363636363633</v>
      </c>
      <c r="Q362" s="11">
        <f t="shared" si="26"/>
        <v>0.14545454545454545</v>
      </c>
      <c r="R362" s="19">
        <f t="shared" si="27"/>
        <v>3</v>
      </c>
      <c r="S362" s="6">
        <f t="shared" si="28"/>
        <v>3</v>
      </c>
      <c r="T362" s="5">
        <f t="shared" si="29"/>
        <v>3</v>
      </c>
    </row>
    <row r="363" spans="2:20" x14ac:dyDescent="0.25">
      <c r="B363" t="s">
        <v>964</v>
      </c>
      <c r="J363">
        <v>0</v>
      </c>
      <c r="K363">
        <v>2</v>
      </c>
      <c r="L363">
        <v>1</v>
      </c>
      <c r="N363">
        <v>3</v>
      </c>
      <c r="O363" s="1">
        <v>3</v>
      </c>
      <c r="P363" s="11">
        <f t="shared" si="25"/>
        <v>0.27272727272727271</v>
      </c>
      <c r="Q363" s="11">
        <f t="shared" si="26"/>
        <v>9.0909090909090905E-3</v>
      </c>
      <c r="R363" s="19">
        <f t="shared" si="27"/>
        <v>1</v>
      </c>
      <c r="S363" s="6">
        <f t="shared" si="28"/>
        <v>1</v>
      </c>
      <c r="T363" s="5">
        <f t="shared" si="29"/>
        <v>1</v>
      </c>
    </row>
    <row r="364" spans="2:20" x14ac:dyDescent="0.25">
      <c r="B364" t="s">
        <v>163</v>
      </c>
      <c r="C364">
        <v>3</v>
      </c>
      <c r="D364">
        <v>3</v>
      </c>
      <c r="E364">
        <v>5</v>
      </c>
      <c r="G364">
        <v>2</v>
      </c>
      <c r="K364">
        <v>2</v>
      </c>
      <c r="L364">
        <v>1</v>
      </c>
      <c r="M364">
        <v>2</v>
      </c>
      <c r="N364">
        <v>18</v>
      </c>
      <c r="O364" s="1">
        <v>18</v>
      </c>
      <c r="P364" s="11">
        <f t="shared" si="25"/>
        <v>1.6363636363636365</v>
      </c>
      <c r="Q364" s="11">
        <f t="shared" si="26"/>
        <v>5.454545454545455E-2</v>
      </c>
      <c r="R364" s="19">
        <f t="shared" si="27"/>
        <v>1</v>
      </c>
      <c r="S364" s="6">
        <f t="shared" si="28"/>
        <v>1</v>
      </c>
      <c r="T364" s="5">
        <f t="shared" si="29"/>
        <v>1</v>
      </c>
    </row>
    <row r="365" spans="2:20" x14ac:dyDescent="0.25">
      <c r="B365" t="s">
        <v>164</v>
      </c>
      <c r="C365">
        <v>3</v>
      </c>
      <c r="D365">
        <v>2</v>
      </c>
      <c r="E365">
        <v>2</v>
      </c>
      <c r="G365">
        <v>2</v>
      </c>
      <c r="H365">
        <v>1</v>
      </c>
      <c r="K365">
        <v>5</v>
      </c>
      <c r="L365">
        <v>3</v>
      </c>
      <c r="M365">
        <v>2</v>
      </c>
      <c r="N365">
        <v>20</v>
      </c>
      <c r="O365" s="1">
        <v>20</v>
      </c>
      <c r="P365" s="11">
        <f t="shared" si="25"/>
        <v>1.8181818181818181</v>
      </c>
      <c r="Q365" s="11">
        <f t="shared" si="26"/>
        <v>6.0606060606060601E-2</v>
      </c>
      <c r="R365" s="19">
        <f t="shared" si="27"/>
        <v>1</v>
      </c>
      <c r="S365" s="6">
        <f t="shared" si="28"/>
        <v>1</v>
      </c>
      <c r="T365" s="5">
        <f t="shared" si="29"/>
        <v>1</v>
      </c>
    </row>
    <row r="366" spans="2:20" x14ac:dyDescent="0.25">
      <c r="B366" t="s">
        <v>165</v>
      </c>
      <c r="C366">
        <v>0</v>
      </c>
      <c r="E366">
        <v>5</v>
      </c>
      <c r="H366">
        <v>10</v>
      </c>
      <c r="K366">
        <v>3</v>
      </c>
      <c r="L366">
        <v>1</v>
      </c>
      <c r="M366">
        <v>7</v>
      </c>
      <c r="N366">
        <v>26</v>
      </c>
      <c r="O366" s="1">
        <v>26</v>
      </c>
      <c r="P366" s="11">
        <f t="shared" si="25"/>
        <v>2.3636363636363638</v>
      </c>
      <c r="Q366" s="11">
        <f t="shared" si="26"/>
        <v>7.8787878787878796E-2</v>
      </c>
      <c r="R366" s="19">
        <f t="shared" si="27"/>
        <v>3</v>
      </c>
      <c r="S366" s="6">
        <f t="shared" si="28"/>
        <v>1</v>
      </c>
      <c r="T366" s="5">
        <f t="shared" si="29"/>
        <v>1</v>
      </c>
    </row>
    <row r="367" spans="2:20" x14ac:dyDescent="0.25">
      <c r="B367" t="s">
        <v>551</v>
      </c>
      <c r="D367">
        <v>3</v>
      </c>
      <c r="E367">
        <v>0</v>
      </c>
      <c r="I367">
        <v>2</v>
      </c>
      <c r="J367">
        <v>2</v>
      </c>
      <c r="L367">
        <v>0</v>
      </c>
      <c r="M367">
        <v>3</v>
      </c>
      <c r="N367">
        <v>10</v>
      </c>
      <c r="O367" s="1">
        <v>10</v>
      </c>
      <c r="P367" s="11">
        <f t="shared" si="25"/>
        <v>0.90909090909090906</v>
      </c>
      <c r="Q367" s="11">
        <f t="shared" si="26"/>
        <v>3.03030303030303E-2</v>
      </c>
      <c r="R367" s="19">
        <f t="shared" si="27"/>
        <v>1</v>
      </c>
      <c r="S367" s="6">
        <f t="shared" si="28"/>
        <v>1</v>
      </c>
      <c r="T367" s="5">
        <f t="shared" si="29"/>
        <v>1</v>
      </c>
    </row>
    <row r="368" spans="2:20" x14ac:dyDescent="0.25">
      <c r="B368" t="s">
        <v>166</v>
      </c>
      <c r="C368">
        <v>14</v>
      </c>
      <c r="E368">
        <v>5</v>
      </c>
      <c r="G368">
        <v>5</v>
      </c>
      <c r="H368">
        <v>13</v>
      </c>
      <c r="L368">
        <v>15</v>
      </c>
      <c r="M368">
        <v>14</v>
      </c>
      <c r="N368">
        <v>66</v>
      </c>
      <c r="O368" s="1">
        <v>66</v>
      </c>
      <c r="P368" s="11">
        <f t="shared" si="25"/>
        <v>6</v>
      </c>
      <c r="Q368" s="11">
        <f t="shared" si="26"/>
        <v>0.2</v>
      </c>
      <c r="R368" s="19">
        <f t="shared" si="27"/>
        <v>3</v>
      </c>
      <c r="S368" s="6">
        <f t="shared" si="28"/>
        <v>3</v>
      </c>
      <c r="T368" s="5">
        <f t="shared" si="29"/>
        <v>3</v>
      </c>
    </row>
    <row r="369" spans="2:20" x14ac:dyDescent="0.25">
      <c r="B369" t="s">
        <v>167</v>
      </c>
      <c r="C369">
        <v>1</v>
      </c>
      <c r="D369">
        <v>2</v>
      </c>
      <c r="E369">
        <v>4</v>
      </c>
      <c r="G369">
        <v>2</v>
      </c>
      <c r="H369">
        <v>5</v>
      </c>
      <c r="I369">
        <v>2</v>
      </c>
      <c r="J369">
        <v>1</v>
      </c>
      <c r="K369">
        <v>2</v>
      </c>
      <c r="L369">
        <v>3</v>
      </c>
      <c r="M369">
        <v>2</v>
      </c>
      <c r="N369">
        <v>24</v>
      </c>
      <c r="O369" s="1">
        <v>24</v>
      </c>
      <c r="P369" s="11">
        <f t="shared" si="25"/>
        <v>2.1818181818181817</v>
      </c>
      <c r="Q369" s="11">
        <f t="shared" si="26"/>
        <v>7.2727272727272724E-2</v>
      </c>
      <c r="R369" s="19">
        <f t="shared" si="27"/>
        <v>3</v>
      </c>
      <c r="S369" s="6">
        <f t="shared" si="28"/>
        <v>1</v>
      </c>
      <c r="T369" s="5">
        <f t="shared" si="29"/>
        <v>1</v>
      </c>
    </row>
    <row r="370" spans="2:20" x14ac:dyDescent="0.25">
      <c r="B370" t="s">
        <v>1001</v>
      </c>
      <c r="K370">
        <v>1</v>
      </c>
      <c r="L370">
        <v>1</v>
      </c>
      <c r="M370">
        <v>1</v>
      </c>
      <c r="N370">
        <v>3</v>
      </c>
      <c r="O370" s="1">
        <v>3</v>
      </c>
      <c r="P370" s="11">
        <f t="shared" si="25"/>
        <v>0.27272727272727271</v>
      </c>
      <c r="Q370" s="11">
        <f t="shared" si="26"/>
        <v>9.0909090909090905E-3</v>
      </c>
      <c r="R370" s="19">
        <f t="shared" si="27"/>
        <v>1</v>
      </c>
      <c r="S370" s="6">
        <f t="shared" si="28"/>
        <v>1</v>
      </c>
      <c r="T370" s="5">
        <f t="shared" si="29"/>
        <v>1</v>
      </c>
    </row>
    <row r="371" spans="2:20" x14ac:dyDescent="0.25">
      <c r="B371" t="s">
        <v>168</v>
      </c>
      <c r="C371">
        <v>1</v>
      </c>
      <c r="D371">
        <v>2</v>
      </c>
      <c r="F371">
        <v>1</v>
      </c>
      <c r="G371">
        <v>1</v>
      </c>
      <c r="I371">
        <v>2</v>
      </c>
      <c r="J371">
        <v>1</v>
      </c>
      <c r="L371">
        <v>1</v>
      </c>
      <c r="N371">
        <v>9</v>
      </c>
      <c r="O371" s="1">
        <v>9</v>
      </c>
      <c r="P371" s="11">
        <f t="shared" si="25"/>
        <v>0.81818181818181823</v>
      </c>
      <c r="Q371" s="11">
        <f t="shared" si="26"/>
        <v>2.7272727272727275E-2</v>
      </c>
      <c r="R371" s="19">
        <f t="shared" si="27"/>
        <v>1</v>
      </c>
      <c r="S371" s="6">
        <f t="shared" si="28"/>
        <v>1</v>
      </c>
      <c r="T371" s="5">
        <f t="shared" si="29"/>
        <v>1</v>
      </c>
    </row>
    <row r="372" spans="2:20" x14ac:dyDescent="0.25">
      <c r="B372" t="s">
        <v>671</v>
      </c>
      <c r="E372">
        <v>1</v>
      </c>
      <c r="F372">
        <v>1</v>
      </c>
      <c r="H372">
        <v>1</v>
      </c>
      <c r="J372">
        <v>2</v>
      </c>
      <c r="K372">
        <v>1</v>
      </c>
      <c r="L372">
        <v>1</v>
      </c>
      <c r="N372">
        <v>7</v>
      </c>
      <c r="O372" s="1">
        <v>7</v>
      </c>
      <c r="P372" s="11">
        <f t="shared" si="25"/>
        <v>0.63636363636363635</v>
      </c>
      <c r="Q372" s="11">
        <f t="shared" si="26"/>
        <v>2.1212121212121213E-2</v>
      </c>
      <c r="R372" s="19">
        <f t="shared" si="27"/>
        <v>1</v>
      </c>
      <c r="S372" s="6">
        <f t="shared" si="28"/>
        <v>1</v>
      </c>
      <c r="T372" s="5">
        <f t="shared" si="29"/>
        <v>1</v>
      </c>
    </row>
    <row r="373" spans="2:20" x14ac:dyDescent="0.25">
      <c r="B373" t="s">
        <v>169</v>
      </c>
      <c r="C373">
        <v>5</v>
      </c>
      <c r="D373">
        <v>3</v>
      </c>
      <c r="F373">
        <v>4</v>
      </c>
      <c r="G373">
        <v>4</v>
      </c>
      <c r="H373">
        <v>2</v>
      </c>
      <c r="J373">
        <v>2</v>
      </c>
      <c r="K373">
        <v>2</v>
      </c>
      <c r="L373">
        <v>2</v>
      </c>
      <c r="M373">
        <v>2</v>
      </c>
      <c r="N373">
        <v>26</v>
      </c>
      <c r="O373" s="1">
        <v>26</v>
      </c>
      <c r="P373" s="11">
        <f t="shared" si="25"/>
        <v>2.3636363636363638</v>
      </c>
      <c r="Q373" s="11">
        <f t="shared" si="26"/>
        <v>7.8787878787878796E-2</v>
      </c>
      <c r="R373" s="19">
        <f t="shared" si="27"/>
        <v>3</v>
      </c>
      <c r="S373" s="6">
        <f t="shared" si="28"/>
        <v>1</v>
      </c>
      <c r="T373" s="5">
        <f t="shared" si="29"/>
        <v>1</v>
      </c>
    </row>
    <row r="374" spans="2:20" x14ac:dyDescent="0.25">
      <c r="B374" t="s">
        <v>170</v>
      </c>
      <c r="C374">
        <v>2</v>
      </c>
      <c r="E374">
        <v>2</v>
      </c>
      <c r="K374">
        <v>2</v>
      </c>
      <c r="L374">
        <v>3</v>
      </c>
      <c r="M374">
        <v>2</v>
      </c>
      <c r="N374">
        <v>11</v>
      </c>
      <c r="O374" s="1">
        <v>11</v>
      </c>
      <c r="P374" s="11">
        <f t="shared" si="25"/>
        <v>1</v>
      </c>
      <c r="Q374" s="11">
        <f t="shared" si="26"/>
        <v>3.3333333333333333E-2</v>
      </c>
      <c r="R374" s="19">
        <f t="shared" si="27"/>
        <v>1</v>
      </c>
      <c r="S374" s="6">
        <f t="shared" si="28"/>
        <v>1</v>
      </c>
      <c r="T374" s="5">
        <f t="shared" si="29"/>
        <v>1</v>
      </c>
    </row>
    <row r="375" spans="2:20" x14ac:dyDescent="0.25">
      <c r="B375" t="s">
        <v>171</v>
      </c>
      <c r="C375">
        <v>3</v>
      </c>
      <c r="D375">
        <v>2</v>
      </c>
      <c r="E375">
        <v>3</v>
      </c>
      <c r="F375">
        <v>1</v>
      </c>
      <c r="G375">
        <v>1</v>
      </c>
      <c r="H375">
        <v>10</v>
      </c>
      <c r="I375">
        <v>11</v>
      </c>
      <c r="J375">
        <v>1</v>
      </c>
      <c r="K375">
        <v>2</v>
      </c>
      <c r="M375">
        <v>10</v>
      </c>
      <c r="N375">
        <v>44</v>
      </c>
      <c r="O375" s="1">
        <v>44</v>
      </c>
      <c r="P375" s="11">
        <f t="shared" si="25"/>
        <v>4</v>
      </c>
      <c r="Q375" s="11">
        <f t="shared" si="26"/>
        <v>0.13333333333333333</v>
      </c>
      <c r="R375" s="19">
        <f t="shared" si="27"/>
        <v>3</v>
      </c>
      <c r="S375" s="6">
        <f t="shared" si="28"/>
        <v>3</v>
      </c>
      <c r="T375" s="5">
        <f t="shared" si="29"/>
        <v>1</v>
      </c>
    </row>
    <row r="376" spans="2:20" x14ac:dyDescent="0.25">
      <c r="B376" t="s">
        <v>172</v>
      </c>
      <c r="C376">
        <v>2</v>
      </c>
      <c r="D376">
        <v>1</v>
      </c>
      <c r="H376">
        <v>1</v>
      </c>
      <c r="J376">
        <v>2</v>
      </c>
      <c r="M376">
        <v>1</v>
      </c>
      <c r="N376">
        <v>7</v>
      </c>
      <c r="O376" s="1">
        <v>7</v>
      </c>
      <c r="P376" s="11">
        <f t="shared" si="25"/>
        <v>0.63636363636363635</v>
      </c>
      <c r="Q376" s="11">
        <f t="shared" si="26"/>
        <v>2.1212121212121213E-2</v>
      </c>
      <c r="R376" s="19">
        <f t="shared" si="27"/>
        <v>1</v>
      </c>
      <c r="S376" s="6">
        <f t="shared" si="28"/>
        <v>1</v>
      </c>
      <c r="T376" s="5">
        <f t="shared" si="29"/>
        <v>1</v>
      </c>
    </row>
    <row r="377" spans="2:20" x14ac:dyDescent="0.25">
      <c r="B377" t="s">
        <v>878</v>
      </c>
      <c r="H377">
        <v>2</v>
      </c>
      <c r="J377">
        <v>2</v>
      </c>
      <c r="N377">
        <v>4</v>
      </c>
      <c r="O377" s="1">
        <v>4</v>
      </c>
      <c r="P377" s="11">
        <f t="shared" si="25"/>
        <v>0.36363636363636365</v>
      </c>
      <c r="Q377" s="11">
        <f t="shared" si="26"/>
        <v>1.2121212121212121E-2</v>
      </c>
      <c r="R377" s="19">
        <f t="shared" si="27"/>
        <v>1</v>
      </c>
      <c r="S377" s="6">
        <f t="shared" si="28"/>
        <v>1</v>
      </c>
      <c r="T377" s="5">
        <f t="shared" si="29"/>
        <v>1</v>
      </c>
    </row>
    <row r="378" spans="2:20" x14ac:dyDescent="0.25">
      <c r="B378" t="s">
        <v>965</v>
      </c>
      <c r="J378">
        <v>1</v>
      </c>
      <c r="N378">
        <v>1</v>
      </c>
      <c r="O378" s="1">
        <v>1</v>
      </c>
      <c r="P378" s="11">
        <f t="shared" si="25"/>
        <v>9.0909090909090912E-2</v>
      </c>
      <c r="Q378" s="11">
        <f t="shared" si="26"/>
        <v>3.0303030303030303E-3</v>
      </c>
      <c r="R378" s="19">
        <f t="shared" si="27"/>
        <v>1</v>
      </c>
      <c r="S378" s="6">
        <f t="shared" si="28"/>
        <v>1</v>
      </c>
      <c r="T378" s="5">
        <f t="shared" si="29"/>
        <v>1</v>
      </c>
    </row>
    <row r="379" spans="2:20" x14ac:dyDescent="0.25">
      <c r="B379" t="s">
        <v>672</v>
      </c>
      <c r="E379">
        <v>1</v>
      </c>
      <c r="F379">
        <v>2</v>
      </c>
      <c r="L379">
        <v>1</v>
      </c>
      <c r="N379">
        <v>4</v>
      </c>
      <c r="O379" s="1">
        <v>4</v>
      </c>
      <c r="P379" s="11">
        <f t="shared" si="25"/>
        <v>0.36363636363636365</v>
      </c>
      <c r="Q379" s="11">
        <f t="shared" si="26"/>
        <v>1.2121212121212121E-2</v>
      </c>
      <c r="R379" s="19">
        <f t="shared" si="27"/>
        <v>1</v>
      </c>
      <c r="S379" s="6">
        <f t="shared" si="28"/>
        <v>1</v>
      </c>
      <c r="T379" s="5">
        <f t="shared" si="29"/>
        <v>1</v>
      </c>
    </row>
    <row r="380" spans="2:20" x14ac:dyDescent="0.25">
      <c r="B380" t="s">
        <v>673</v>
      </c>
      <c r="E380">
        <v>1</v>
      </c>
      <c r="K380">
        <v>1</v>
      </c>
      <c r="L380">
        <v>1</v>
      </c>
      <c r="N380">
        <v>3</v>
      </c>
      <c r="O380" s="1">
        <v>3</v>
      </c>
      <c r="P380" s="11">
        <f t="shared" si="25"/>
        <v>0.27272727272727271</v>
      </c>
      <c r="Q380" s="11">
        <f t="shared" si="26"/>
        <v>9.0909090909090905E-3</v>
      </c>
      <c r="R380" s="19">
        <f t="shared" si="27"/>
        <v>1</v>
      </c>
      <c r="S380" s="6">
        <f t="shared" si="28"/>
        <v>1</v>
      </c>
      <c r="T380" s="5">
        <f t="shared" si="29"/>
        <v>1</v>
      </c>
    </row>
    <row r="381" spans="2:20" x14ac:dyDescent="0.25">
      <c r="B381" t="s">
        <v>552</v>
      </c>
      <c r="D381">
        <v>3</v>
      </c>
      <c r="E381">
        <v>2</v>
      </c>
      <c r="F381">
        <v>1</v>
      </c>
      <c r="H381">
        <v>1</v>
      </c>
      <c r="J381">
        <v>2</v>
      </c>
      <c r="K381">
        <v>3</v>
      </c>
      <c r="L381">
        <v>2</v>
      </c>
      <c r="M381">
        <v>1</v>
      </c>
      <c r="N381">
        <v>15</v>
      </c>
      <c r="O381" s="1">
        <v>15</v>
      </c>
      <c r="P381" s="11">
        <f t="shared" si="25"/>
        <v>1.3636363636363635</v>
      </c>
      <c r="Q381" s="11">
        <f t="shared" si="26"/>
        <v>4.5454545454545449E-2</v>
      </c>
      <c r="R381" s="19">
        <f t="shared" si="27"/>
        <v>1</v>
      </c>
      <c r="S381" s="6">
        <f t="shared" si="28"/>
        <v>1</v>
      </c>
      <c r="T381" s="5">
        <f t="shared" si="29"/>
        <v>1</v>
      </c>
    </row>
    <row r="382" spans="2:20" x14ac:dyDescent="0.25">
      <c r="B382" t="s">
        <v>173</v>
      </c>
      <c r="C382">
        <v>1</v>
      </c>
      <c r="D382">
        <v>1</v>
      </c>
      <c r="N382">
        <v>2</v>
      </c>
      <c r="O382" s="1">
        <v>2</v>
      </c>
      <c r="P382" s="11">
        <f t="shared" si="25"/>
        <v>0.18181818181818182</v>
      </c>
      <c r="Q382" s="11">
        <f t="shared" si="26"/>
        <v>6.0606060606060606E-3</v>
      </c>
      <c r="R382" s="19">
        <f t="shared" si="27"/>
        <v>1</v>
      </c>
      <c r="S382" s="6">
        <f t="shared" si="28"/>
        <v>1</v>
      </c>
      <c r="T382" s="5">
        <f t="shared" si="29"/>
        <v>1</v>
      </c>
    </row>
    <row r="383" spans="2:20" x14ac:dyDescent="0.25">
      <c r="B383" t="s">
        <v>174</v>
      </c>
      <c r="C383">
        <v>1</v>
      </c>
      <c r="D383">
        <v>2</v>
      </c>
      <c r="E383">
        <v>1</v>
      </c>
      <c r="N383">
        <v>4</v>
      </c>
      <c r="O383" s="1">
        <v>4</v>
      </c>
      <c r="P383" s="11">
        <f t="shared" si="25"/>
        <v>0.36363636363636365</v>
      </c>
      <c r="Q383" s="11">
        <f t="shared" si="26"/>
        <v>1.2121212121212121E-2</v>
      </c>
      <c r="R383" s="19">
        <f t="shared" si="27"/>
        <v>1</v>
      </c>
      <c r="S383" s="6">
        <f t="shared" si="28"/>
        <v>1</v>
      </c>
      <c r="T383" s="5">
        <f t="shared" si="29"/>
        <v>1</v>
      </c>
    </row>
    <row r="384" spans="2:20" x14ac:dyDescent="0.25">
      <c r="B384" t="s">
        <v>553</v>
      </c>
      <c r="D384">
        <v>1</v>
      </c>
      <c r="F384">
        <v>1</v>
      </c>
      <c r="G384">
        <v>3</v>
      </c>
      <c r="N384">
        <v>5</v>
      </c>
      <c r="O384" s="1">
        <v>5</v>
      </c>
      <c r="P384" s="11">
        <f t="shared" si="25"/>
        <v>0.45454545454545453</v>
      </c>
      <c r="Q384" s="11">
        <f t="shared" si="26"/>
        <v>1.515151515151515E-2</v>
      </c>
      <c r="R384" s="19">
        <f t="shared" si="27"/>
        <v>1</v>
      </c>
      <c r="S384" s="6">
        <f t="shared" si="28"/>
        <v>1</v>
      </c>
      <c r="T384" s="5">
        <f t="shared" si="29"/>
        <v>1</v>
      </c>
    </row>
    <row r="385" spans="2:20" x14ac:dyDescent="0.25">
      <c r="B385" t="s">
        <v>966</v>
      </c>
      <c r="J385">
        <v>1</v>
      </c>
      <c r="N385">
        <v>1</v>
      </c>
      <c r="O385" s="1">
        <v>1</v>
      </c>
      <c r="P385" s="11">
        <f t="shared" si="25"/>
        <v>9.0909090909090912E-2</v>
      </c>
      <c r="Q385" s="11">
        <f t="shared" si="26"/>
        <v>3.0303030303030303E-3</v>
      </c>
      <c r="R385" s="19">
        <f t="shared" si="27"/>
        <v>1</v>
      </c>
      <c r="S385" s="6">
        <f t="shared" si="28"/>
        <v>1</v>
      </c>
      <c r="T385" s="5">
        <f t="shared" si="29"/>
        <v>1</v>
      </c>
    </row>
    <row r="386" spans="2:20" x14ac:dyDescent="0.25">
      <c r="B386" t="s">
        <v>825</v>
      </c>
      <c r="G386">
        <v>2</v>
      </c>
      <c r="K386">
        <v>3</v>
      </c>
      <c r="L386">
        <v>2</v>
      </c>
      <c r="M386">
        <v>1</v>
      </c>
      <c r="N386">
        <v>8</v>
      </c>
      <c r="O386" s="1">
        <v>8</v>
      </c>
      <c r="P386" s="11">
        <f t="shared" si="25"/>
        <v>0.72727272727272729</v>
      </c>
      <c r="Q386" s="11">
        <f t="shared" si="26"/>
        <v>2.4242424242424242E-2</v>
      </c>
      <c r="R386" s="19">
        <f t="shared" si="27"/>
        <v>1</v>
      </c>
      <c r="S386" s="6">
        <f t="shared" si="28"/>
        <v>1</v>
      </c>
      <c r="T386" s="5">
        <f t="shared" si="29"/>
        <v>1</v>
      </c>
    </row>
    <row r="387" spans="2:20" x14ac:dyDescent="0.25">
      <c r="B387" t="s">
        <v>175</v>
      </c>
      <c r="C387">
        <v>3</v>
      </c>
      <c r="D387">
        <v>1</v>
      </c>
      <c r="H387">
        <v>1</v>
      </c>
      <c r="K387">
        <v>1</v>
      </c>
      <c r="L387">
        <v>1</v>
      </c>
      <c r="N387">
        <v>7</v>
      </c>
      <c r="O387" s="1">
        <v>7</v>
      </c>
      <c r="P387" s="11">
        <f t="shared" si="25"/>
        <v>0.63636363636363635</v>
      </c>
      <c r="Q387" s="11">
        <f t="shared" si="26"/>
        <v>2.1212121212121213E-2</v>
      </c>
      <c r="R387" s="19">
        <f t="shared" si="27"/>
        <v>1</v>
      </c>
      <c r="S387" s="6">
        <f t="shared" si="28"/>
        <v>1</v>
      </c>
      <c r="T387" s="5">
        <f t="shared" si="29"/>
        <v>1</v>
      </c>
    </row>
    <row r="388" spans="2:20" x14ac:dyDescent="0.25">
      <c r="B388" t="s">
        <v>554</v>
      </c>
      <c r="D388">
        <v>1</v>
      </c>
      <c r="N388">
        <v>1</v>
      </c>
      <c r="O388" s="1">
        <v>1</v>
      </c>
      <c r="P388" s="11">
        <f t="shared" si="25"/>
        <v>9.0909090909090912E-2</v>
      </c>
      <c r="Q388" s="11">
        <f t="shared" si="26"/>
        <v>3.0303030303030303E-3</v>
      </c>
      <c r="R388" s="19">
        <f t="shared" si="27"/>
        <v>1</v>
      </c>
      <c r="S388" s="6">
        <f t="shared" si="28"/>
        <v>1</v>
      </c>
      <c r="T388" s="5">
        <f t="shared" si="29"/>
        <v>1</v>
      </c>
    </row>
    <row r="389" spans="2:20" x14ac:dyDescent="0.25">
      <c r="B389" t="s">
        <v>674</v>
      </c>
      <c r="E389">
        <v>2</v>
      </c>
      <c r="F389">
        <v>1</v>
      </c>
      <c r="I389">
        <v>2</v>
      </c>
      <c r="K389">
        <v>1</v>
      </c>
      <c r="L389">
        <v>2</v>
      </c>
      <c r="M389">
        <v>1</v>
      </c>
      <c r="N389">
        <v>9</v>
      </c>
      <c r="O389" s="1">
        <v>9</v>
      </c>
      <c r="P389" s="11">
        <f t="shared" si="25"/>
        <v>0.81818181818181823</v>
      </c>
      <c r="Q389" s="11">
        <f t="shared" si="26"/>
        <v>2.7272727272727275E-2</v>
      </c>
      <c r="R389" s="19">
        <f t="shared" si="27"/>
        <v>1</v>
      </c>
      <c r="S389" s="6">
        <f t="shared" si="28"/>
        <v>1</v>
      </c>
      <c r="T389" s="5">
        <f t="shared" si="29"/>
        <v>1</v>
      </c>
    </row>
    <row r="390" spans="2:20" x14ac:dyDescent="0.25">
      <c r="B390" t="s">
        <v>967</v>
      </c>
      <c r="J390">
        <v>1</v>
      </c>
      <c r="N390">
        <v>1</v>
      </c>
      <c r="O390" s="1">
        <v>1</v>
      </c>
      <c r="P390" s="11">
        <f t="shared" ref="P390:P453" si="30">O390/11</f>
        <v>9.0909090909090912E-2</v>
      </c>
      <c r="Q390" s="11">
        <f t="shared" si="26"/>
        <v>3.0303030303030303E-3</v>
      </c>
      <c r="R390" s="19">
        <f t="shared" si="27"/>
        <v>1</v>
      </c>
      <c r="S390" s="6">
        <f t="shared" si="28"/>
        <v>1</v>
      </c>
      <c r="T390" s="5">
        <f t="shared" si="29"/>
        <v>1</v>
      </c>
    </row>
    <row r="391" spans="2:20" x14ac:dyDescent="0.25">
      <c r="B391" t="s">
        <v>176</v>
      </c>
      <c r="C391">
        <v>4</v>
      </c>
      <c r="D391">
        <v>2</v>
      </c>
      <c r="E391">
        <v>3</v>
      </c>
      <c r="G391">
        <v>6</v>
      </c>
      <c r="H391">
        <v>2</v>
      </c>
      <c r="I391">
        <v>2</v>
      </c>
      <c r="J391">
        <v>4</v>
      </c>
      <c r="K391">
        <v>2</v>
      </c>
      <c r="L391">
        <v>4</v>
      </c>
      <c r="M391">
        <v>2</v>
      </c>
      <c r="N391">
        <v>31</v>
      </c>
      <c r="O391" s="1">
        <v>31</v>
      </c>
      <c r="P391" s="11">
        <f t="shared" si="30"/>
        <v>2.8181818181818183</v>
      </c>
      <c r="Q391" s="11">
        <f t="shared" ref="Q391:Q454" si="31">P391/30</f>
        <v>9.3939393939393948E-2</v>
      </c>
      <c r="R391" s="19">
        <f t="shared" ref="R391:R454" si="32">ODD(Q391*14)</f>
        <v>3</v>
      </c>
      <c r="S391" s="6">
        <f t="shared" ref="S391:S454" si="33">ODD(Q391*10.5)</f>
        <v>1</v>
      </c>
      <c r="T391" s="5">
        <f t="shared" ref="T391:T454" si="34">ODD(Q391*7)</f>
        <v>1</v>
      </c>
    </row>
    <row r="392" spans="2:20" x14ac:dyDescent="0.25">
      <c r="B392" t="s">
        <v>675</v>
      </c>
      <c r="E392">
        <v>1</v>
      </c>
      <c r="F392">
        <v>3</v>
      </c>
      <c r="N392">
        <v>4</v>
      </c>
      <c r="O392" s="1">
        <v>4</v>
      </c>
      <c r="P392" s="11">
        <f t="shared" si="30"/>
        <v>0.36363636363636365</v>
      </c>
      <c r="Q392" s="11">
        <f t="shared" si="31"/>
        <v>1.2121212121212121E-2</v>
      </c>
      <c r="R392" s="19">
        <f t="shared" si="32"/>
        <v>1</v>
      </c>
      <c r="S392" s="6">
        <f t="shared" si="33"/>
        <v>1</v>
      </c>
      <c r="T392" s="5">
        <f t="shared" si="34"/>
        <v>1</v>
      </c>
    </row>
    <row r="393" spans="2:20" x14ac:dyDescent="0.25">
      <c r="B393" t="s">
        <v>555</v>
      </c>
      <c r="D393">
        <v>3</v>
      </c>
      <c r="E393">
        <v>3</v>
      </c>
      <c r="I393">
        <v>3</v>
      </c>
      <c r="K393">
        <v>3</v>
      </c>
      <c r="L393">
        <v>3</v>
      </c>
      <c r="M393">
        <v>3</v>
      </c>
      <c r="N393">
        <v>18</v>
      </c>
      <c r="O393" s="1">
        <v>18</v>
      </c>
      <c r="P393" s="11">
        <f t="shared" si="30"/>
        <v>1.6363636363636365</v>
      </c>
      <c r="Q393" s="11">
        <f t="shared" si="31"/>
        <v>5.454545454545455E-2</v>
      </c>
      <c r="R393" s="19">
        <f t="shared" si="32"/>
        <v>1</v>
      </c>
      <c r="S393" s="6">
        <f t="shared" si="33"/>
        <v>1</v>
      </c>
      <c r="T393" s="5">
        <f t="shared" si="34"/>
        <v>1</v>
      </c>
    </row>
    <row r="394" spans="2:20" x14ac:dyDescent="0.25">
      <c r="B394" t="s">
        <v>177</v>
      </c>
      <c r="C394">
        <v>3</v>
      </c>
      <c r="D394">
        <v>1</v>
      </c>
      <c r="G394">
        <v>0</v>
      </c>
      <c r="H394">
        <v>2</v>
      </c>
      <c r="I394">
        <v>2</v>
      </c>
      <c r="J394">
        <v>2</v>
      </c>
      <c r="K394">
        <v>1</v>
      </c>
      <c r="L394">
        <v>1</v>
      </c>
      <c r="M394">
        <v>1</v>
      </c>
      <c r="N394">
        <v>13</v>
      </c>
      <c r="O394" s="1">
        <v>13</v>
      </c>
      <c r="P394" s="11">
        <f t="shared" si="30"/>
        <v>1.1818181818181819</v>
      </c>
      <c r="Q394" s="11">
        <f t="shared" si="31"/>
        <v>3.9393939393939398E-2</v>
      </c>
      <c r="R394" s="19">
        <f t="shared" si="32"/>
        <v>1</v>
      </c>
      <c r="S394" s="6">
        <f t="shared" si="33"/>
        <v>1</v>
      </c>
      <c r="T394" s="5">
        <f t="shared" si="34"/>
        <v>1</v>
      </c>
    </row>
    <row r="395" spans="2:20" x14ac:dyDescent="0.25">
      <c r="B395" t="s">
        <v>178</v>
      </c>
      <c r="C395">
        <v>1</v>
      </c>
      <c r="D395">
        <v>2</v>
      </c>
      <c r="E395">
        <v>1</v>
      </c>
      <c r="G395">
        <v>2</v>
      </c>
      <c r="I395">
        <v>1</v>
      </c>
      <c r="J395">
        <v>1</v>
      </c>
      <c r="L395">
        <v>2</v>
      </c>
      <c r="M395">
        <v>1</v>
      </c>
      <c r="N395">
        <v>11</v>
      </c>
      <c r="O395" s="1">
        <v>11</v>
      </c>
      <c r="P395" s="11">
        <f t="shared" si="30"/>
        <v>1</v>
      </c>
      <c r="Q395" s="11">
        <f t="shared" si="31"/>
        <v>3.3333333333333333E-2</v>
      </c>
      <c r="R395" s="19">
        <f t="shared" si="32"/>
        <v>1</v>
      </c>
      <c r="S395" s="6">
        <f t="shared" si="33"/>
        <v>1</v>
      </c>
      <c r="T395" s="5">
        <f t="shared" si="34"/>
        <v>1</v>
      </c>
    </row>
    <row r="396" spans="2:20" x14ac:dyDescent="0.25">
      <c r="B396" t="s">
        <v>556</v>
      </c>
      <c r="D396">
        <v>3</v>
      </c>
      <c r="E396">
        <v>3</v>
      </c>
      <c r="F396">
        <v>1</v>
      </c>
      <c r="G396">
        <v>3</v>
      </c>
      <c r="H396">
        <v>2</v>
      </c>
      <c r="I396">
        <v>2</v>
      </c>
      <c r="K396">
        <v>3</v>
      </c>
      <c r="L396">
        <v>3</v>
      </c>
      <c r="N396">
        <v>20</v>
      </c>
      <c r="O396" s="1">
        <v>20</v>
      </c>
      <c r="P396" s="11">
        <f t="shared" si="30"/>
        <v>1.8181818181818181</v>
      </c>
      <c r="Q396" s="11">
        <f t="shared" si="31"/>
        <v>6.0606060606060601E-2</v>
      </c>
      <c r="R396" s="19">
        <f t="shared" si="32"/>
        <v>1</v>
      </c>
      <c r="S396" s="6">
        <f t="shared" si="33"/>
        <v>1</v>
      </c>
      <c r="T396" s="5">
        <f t="shared" si="34"/>
        <v>1</v>
      </c>
    </row>
    <row r="397" spans="2:20" x14ac:dyDescent="0.25">
      <c r="B397" t="s">
        <v>179</v>
      </c>
      <c r="C397">
        <v>3</v>
      </c>
      <c r="D397">
        <v>6</v>
      </c>
      <c r="E397">
        <v>11</v>
      </c>
      <c r="F397">
        <v>5</v>
      </c>
      <c r="G397">
        <v>14</v>
      </c>
      <c r="H397">
        <v>14</v>
      </c>
      <c r="J397">
        <v>4</v>
      </c>
      <c r="K397">
        <v>9</v>
      </c>
      <c r="L397">
        <v>13</v>
      </c>
      <c r="M397">
        <v>12</v>
      </c>
      <c r="N397">
        <v>91</v>
      </c>
      <c r="O397" s="1">
        <v>91</v>
      </c>
      <c r="P397" s="11">
        <f t="shared" si="30"/>
        <v>8.2727272727272734</v>
      </c>
      <c r="Q397" s="11">
        <f t="shared" si="31"/>
        <v>0.27575757575757576</v>
      </c>
      <c r="R397" s="19">
        <f t="shared" si="32"/>
        <v>5</v>
      </c>
      <c r="S397" s="6">
        <f t="shared" si="33"/>
        <v>3</v>
      </c>
      <c r="T397" s="5">
        <f t="shared" si="34"/>
        <v>3</v>
      </c>
    </row>
    <row r="398" spans="2:20" x14ac:dyDescent="0.25">
      <c r="B398" t="s">
        <v>180</v>
      </c>
      <c r="C398">
        <v>6</v>
      </c>
      <c r="D398">
        <v>3</v>
      </c>
      <c r="E398">
        <v>15</v>
      </c>
      <c r="F398">
        <v>24</v>
      </c>
      <c r="G398">
        <v>5</v>
      </c>
      <c r="H398">
        <v>37</v>
      </c>
      <c r="I398">
        <v>19</v>
      </c>
      <c r="J398">
        <v>14</v>
      </c>
      <c r="K398">
        <v>28</v>
      </c>
      <c r="L398">
        <v>32</v>
      </c>
      <c r="M398">
        <v>19</v>
      </c>
      <c r="N398">
        <v>202</v>
      </c>
      <c r="O398" s="1">
        <v>202</v>
      </c>
      <c r="P398" s="11">
        <f t="shared" si="30"/>
        <v>18.363636363636363</v>
      </c>
      <c r="Q398" s="11">
        <f t="shared" si="31"/>
        <v>0.61212121212121207</v>
      </c>
      <c r="R398" s="19">
        <f t="shared" si="32"/>
        <v>9</v>
      </c>
      <c r="S398" s="6">
        <f t="shared" si="33"/>
        <v>7</v>
      </c>
      <c r="T398" s="5">
        <f t="shared" si="34"/>
        <v>5</v>
      </c>
    </row>
    <row r="399" spans="2:20" x14ac:dyDescent="0.25">
      <c r="B399" t="s">
        <v>763</v>
      </c>
      <c r="F399">
        <v>1</v>
      </c>
      <c r="N399">
        <v>1</v>
      </c>
      <c r="O399" s="1">
        <v>1</v>
      </c>
      <c r="P399" s="11">
        <f t="shared" si="30"/>
        <v>9.0909090909090912E-2</v>
      </c>
      <c r="Q399" s="11">
        <f t="shared" si="31"/>
        <v>3.0303030303030303E-3</v>
      </c>
      <c r="R399" s="19">
        <f t="shared" si="32"/>
        <v>1</v>
      </c>
      <c r="S399" s="6">
        <f t="shared" si="33"/>
        <v>1</v>
      </c>
      <c r="T399" s="5">
        <f t="shared" si="34"/>
        <v>1</v>
      </c>
    </row>
    <row r="400" spans="2:20" x14ac:dyDescent="0.25">
      <c r="B400" t="s">
        <v>181</v>
      </c>
      <c r="C400">
        <v>1</v>
      </c>
      <c r="N400">
        <v>1</v>
      </c>
      <c r="O400" s="1">
        <v>1</v>
      </c>
      <c r="P400" s="11">
        <f t="shared" si="30"/>
        <v>9.0909090909090912E-2</v>
      </c>
      <c r="Q400" s="11">
        <f t="shared" si="31"/>
        <v>3.0303030303030303E-3</v>
      </c>
      <c r="R400" s="19">
        <f t="shared" si="32"/>
        <v>1</v>
      </c>
      <c r="S400" s="6">
        <f t="shared" si="33"/>
        <v>1</v>
      </c>
      <c r="T400" s="5">
        <f t="shared" si="34"/>
        <v>1</v>
      </c>
    </row>
    <row r="401" spans="2:20" x14ac:dyDescent="0.25">
      <c r="B401" t="s">
        <v>826</v>
      </c>
      <c r="G401">
        <v>1</v>
      </c>
      <c r="N401">
        <v>1</v>
      </c>
      <c r="O401" s="1">
        <v>1</v>
      </c>
      <c r="P401" s="11">
        <f t="shared" si="30"/>
        <v>9.0909090909090912E-2</v>
      </c>
      <c r="Q401" s="11">
        <f t="shared" si="31"/>
        <v>3.0303030303030303E-3</v>
      </c>
      <c r="R401" s="19">
        <f t="shared" si="32"/>
        <v>1</v>
      </c>
      <c r="S401" s="6">
        <f t="shared" si="33"/>
        <v>1</v>
      </c>
      <c r="T401" s="5">
        <f t="shared" si="34"/>
        <v>1</v>
      </c>
    </row>
    <row r="402" spans="2:20" x14ac:dyDescent="0.25">
      <c r="B402" t="s">
        <v>557</v>
      </c>
      <c r="D402">
        <v>1</v>
      </c>
      <c r="F402">
        <v>0</v>
      </c>
      <c r="N402">
        <v>1</v>
      </c>
      <c r="O402" s="1">
        <v>1</v>
      </c>
      <c r="P402" s="11">
        <f t="shared" si="30"/>
        <v>9.0909090909090912E-2</v>
      </c>
      <c r="Q402" s="11">
        <f t="shared" si="31"/>
        <v>3.0303030303030303E-3</v>
      </c>
      <c r="R402" s="19">
        <f t="shared" si="32"/>
        <v>1</v>
      </c>
      <c r="S402" s="6">
        <f t="shared" si="33"/>
        <v>1</v>
      </c>
      <c r="T402" s="5">
        <f t="shared" si="34"/>
        <v>1</v>
      </c>
    </row>
    <row r="403" spans="2:20" x14ac:dyDescent="0.25">
      <c r="B403" t="s">
        <v>676</v>
      </c>
      <c r="E403">
        <v>1</v>
      </c>
      <c r="N403">
        <v>1</v>
      </c>
      <c r="O403" s="1">
        <v>1</v>
      </c>
      <c r="P403" s="11">
        <f t="shared" si="30"/>
        <v>9.0909090909090912E-2</v>
      </c>
      <c r="Q403" s="11">
        <f t="shared" si="31"/>
        <v>3.0303030303030303E-3</v>
      </c>
      <c r="R403" s="19">
        <f t="shared" si="32"/>
        <v>1</v>
      </c>
      <c r="S403" s="6">
        <f t="shared" si="33"/>
        <v>1</v>
      </c>
      <c r="T403" s="5">
        <f t="shared" si="34"/>
        <v>1</v>
      </c>
    </row>
    <row r="404" spans="2:20" x14ac:dyDescent="0.25">
      <c r="B404" t="s">
        <v>764</v>
      </c>
      <c r="F404">
        <v>1</v>
      </c>
      <c r="I404">
        <v>2</v>
      </c>
      <c r="K404">
        <v>1</v>
      </c>
      <c r="L404">
        <v>2</v>
      </c>
      <c r="M404">
        <v>1</v>
      </c>
      <c r="N404">
        <v>7</v>
      </c>
      <c r="O404" s="1">
        <v>7</v>
      </c>
      <c r="P404" s="11">
        <f t="shared" si="30"/>
        <v>0.63636363636363635</v>
      </c>
      <c r="Q404" s="11">
        <f t="shared" si="31"/>
        <v>2.1212121212121213E-2</v>
      </c>
      <c r="R404" s="19">
        <f t="shared" si="32"/>
        <v>1</v>
      </c>
      <c r="S404" s="6">
        <f t="shared" si="33"/>
        <v>1</v>
      </c>
      <c r="T404" s="5">
        <f t="shared" si="34"/>
        <v>1</v>
      </c>
    </row>
    <row r="405" spans="2:20" x14ac:dyDescent="0.25">
      <c r="B405" t="s">
        <v>182</v>
      </c>
      <c r="C405">
        <v>4</v>
      </c>
      <c r="D405">
        <v>6</v>
      </c>
      <c r="E405">
        <v>2</v>
      </c>
      <c r="F405">
        <v>7</v>
      </c>
      <c r="G405">
        <v>4</v>
      </c>
      <c r="I405">
        <v>13</v>
      </c>
      <c r="K405">
        <v>8</v>
      </c>
      <c r="M405">
        <v>2</v>
      </c>
      <c r="N405">
        <v>46</v>
      </c>
      <c r="O405" s="1">
        <v>46</v>
      </c>
      <c r="P405" s="11">
        <f t="shared" si="30"/>
        <v>4.1818181818181817</v>
      </c>
      <c r="Q405" s="11">
        <f t="shared" si="31"/>
        <v>0.13939393939393938</v>
      </c>
      <c r="R405" s="19">
        <f t="shared" si="32"/>
        <v>3</v>
      </c>
      <c r="S405" s="6">
        <f t="shared" si="33"/>
        <v>3</v>
      </c>
      <c r="T405" s="5">
        <f t="shared" si="34"/>
        <v>1</v>
      </c>
    </row>
    <row r="406" spans="2:20" x14ac:dyDescent="0.25">
      <c r="B406" t="s">
        <v>183</v>
      </c>
      <c r="C406">
        <v>1</v>
      </c>
      <c r="D406">
        <v>1</v>
      </c>
      <c r="E406">
        <v>5</v>
      </c>
      <c r="F406">
        <v>1</v>
      </c>
      <c r="G406">
        <v>1</v>
      </c>
      <c r="I406">
        <v>3</v>
      </c>
      <c r="J406">
        <v>2</v>
      </c>
      <c r="K406">
        <v>3</v>
      </c>
      <c r="L406">
        <v>4</v>
      </c>
      <c r="M406">
        <v>2</v>
      </c>
      <c r="N406">
        <v>23</v>
      </c>
      <c r="O406" s="1">
        <v>23</v>
      </c>
      <c r="P406" s="11">
        <f t="shared" si="30"/>
        <v>2.0909090909090908</v>
      </c>
      <c r="Q406" s="11">
        <f t="shared" si="31"/>
        <v>6.9696969696969688E-2</v>
      </c>
      <c r="R406" s="19">
        <f t="shared" si="32"/>
        <v>1</v>
      </c>
      <c r="S406" s="6">
        <f t="shared" si="33"/>
        <v>1</v>
      </c>
      <c r="T406" s="5">
        <f t="shared" si="34"/>
        <v>1</v>
      </c>
    </row>
    <row r="407" spans="2:20" x14ac:dyDescent="0.25">
      <c r="B407" t="s">
        <v>765</v>
      </c>
      <c r="F407">
        <v>1</v>
      </c>
      <c r="N407">
        <v>1</v>
      </c>
      <c r="O407" s="1">
        <v>1</v>
      </c>
      <c r="P407" s="11">
        <f t="shared" si="30"/>
        <v>9.0909090909090912E-2</v>
      </c>
      <c r="Q407" s="11">
        <f t="shared" si="31"/>
        <v>3.0303030303030303E-3</v>
      </c>
      <c r="R407" s="19">
        <f t="shared" si="32"/>
        <v>1</v>
      </c>
      <c r="S407" s="6">
        <f t="shared" si="33"/>
        <v>1</v>
      </c>
      <c r="T407" s="5">
        <f t="shared" si="34"/>
        <v>1</v>
      </c>
    </row>
    <row r="408" spans="2:20" x14ac:dyDescent="0.25">
      <c r="B408" t="s">
        <v>184</v>
      </c>
      <c r="C408">
        <v>211</v>
      </c>
      <c r="D408">
        <v>349</v>
      </c>
      <c r="E408">
        <v>36</v>
      </c>
      <c r="F408">
        <v>53</v>
      </c>
      <c r="G408">
        <v>118</v>
      </c>
      <c r="H408">
        <v>124</v>
      </c>
      <c r="I408">
        <v>26</v>
      </c>
      <c r="J408">
        <v>38</v>
      </c>
      <c r="K408">
        <v>17</v>
      </c>
      <c r="L408">
        <v>106</v>
      </c>
      <c r="M408">
        <v>79</v>
      </c>
      <c r="N408">
        <v>1157</v>
      </c>
      <c r="O408" s="1">
        <v>1157</v>
      </c>
      <c r="P408" s="11">
        <f t="shared" si="30"/>
        <v>105.18181818181819</v>
      </c>
      <c r="Q408" s="11">
        <f t="shared" si="31"/>
        <v>3.5060606060606063</v>
      </c>
      <c r="R408" s="19">
        <f t="shared" si="32"/>
        <v>51</v>
      </c>
      <c r="S408" s="6">
        <f t="shared" si="33"/>
        <v>37</v>
      </c>
      <c r="T408" s="5">
        <f t="shared" si="34"/>
        <v>25</v>
      </c>
    </row>
    <row r="409" spans="2:20" x14ac:dyDescent="0.25">
      <c r="B409" t="s">
        <v>766</v>
      </c>
      <c r="F409">
        <v>2</v>
      </c>
      <c r="H409">
        <v>1</v>
      </c>
      <c r="I409">
        <v>0</v>
      </c>
      <c r="K409">
        <v>1</v>
      </c>
      <c r="M409">
        <v>1</v>
      </c>
      <c r="N409">
        <v>5</v>
      </c>
      <c r="O409" s="1">
        <v>5</v>
      </c>
      <c r="P409" s="11">
        <f t="shared" si="30"/>
        <v>0.45454545454545453</v>
      </c>
      <c r="Q409" s="11">
        <f t="shared" si="31"/>
        <v>1.515151515151515E-2</v>
      </c>
      <c r="R409" s="19">
        <f t="shared" si="32"/>
        <v>1</v>
      </c>
      <c r="S409" s="6">
        <f t="shared" si="33"/>
        <v>1</v>
      </c>
      <c r="T409" s="5">
        <f t="shared" si="34"/>
        <v>1</v>
      </c>
    </row>
    <row r="410" spans="2:20" x14ac:dyDescent="0.25">
      <c r="B410" t="s">
        <v>185</v>
      </c>
      <c r="C410">
        <v>1</v>
      </c>
      <c r="D410">
        <v>1</v>
      </c>
      <c r="E410">
        <v>2</v>
      </c>
      <c r="F410">
        <v>1</v>
      </c>
      <c r="K410">
        <v>0</v>
      </c>
      <c r="L410">
        <v>3</v>
      </c>
      <c r="M410">
        <v>2</v>
      </c>
      <c r="N410">
        <v>10</v>
      </c>
      <c r="O410" s="1">
        <v>10</v>
      </c>
      <c r="P410" s="11">
        <f t="shared" si="30"/>
        <v>0.90909090909090906</v>
      </c>
      <c r="Q410" s="11">
        <f t="shared" si="31"/>
        <v>3.03030303030303E-2</v>
      </c>
      <c r="R410" s="19">
        <f t="shared" si="32"/>
        <v>1</v>
      </c>
      <c r="S410" s="6">
        <f t="shared" si="33"/>
        <v>1</v>
      </c>
      <c r="T410" s="5">
        <f t="shared" si="34"/>
        <v>1</v>
      </c>
    </row>
    <row r="411" spans="2:20" x14ac:dyDescent="0.25">
      <c r="B411" t="s">
        <v>928</v>
      </c>
      <c r="I411">
        <v>2</v>
      </c>
      <c r="K411">
        <v>2</v>
      </c>
      <c r="L411">
        <v>1</v>
      </c>
      <c r="M411">
        <v>1</v>
      </c>
      <c r="N411">
        <v>6</v>
      </c>
      <c r="O411" s="1">
        <v>6</v>
      </c>
      <c r="P411" s="11">
        <f t="shared" si="30"/>
        <v>0.54545454545454541</v>
      </c>
      <c r="Q411" s="11">
        <f t="shared" si="31"/>
        <v>1.8181818181818181E-2</v>
      </c>
      <c r="R411" s="19">
        <f t="shared" si="32"/>
        <v>1</v>
      </c>
      <c r="S411" s="6">
        <f t="shared" si="33"/>
        <v>1</v>
      </c>
      <c r="T411" s="5">
        <f t="shared" si="34"/>
        <v>1</v>
      </c>
    </row>
    <row r="412" spans="2:20" x14ac:dyDescent="0.25">
      <c r="B412" t="s">
        <v>558</v>
      </c>
      <c r="D412">
        <v>1</v>
      </c>
      <c r="I412">
        <v>2</v>
      </c>
      <c r="K412">
        <v>1</v>
      </c>
      <c r="M412">
        <v>1</v>
      </c>
      <c r="N412">
        <v>5</v>
      </c>
      <c r="O412" s="1">
        <v>5</v>
      </c>
      <c r="P412" s="11">
        <f t="shared" si="30"/>
        <v>0.45454545454545453</v>
      </c>
      <c r="Q412" s="11">
        <f t="shared" si="31"/>
        <v>1.515151515151515E-2</v>
      </c>
      <c r="R412" s="19">
        <f t="shared" si="32"/>
        <v>1</v>
      </c>
      <c r="S412" s="6">
        <f t="shared" si="33"/>
        <v>1</v>
      </c>
      <c r="T412" s="5">
        <f t="shared" si="34"/>
        <v>1</v>
      </c>
    </row>
    <row r="413" spans="2:20" x14ac:dyDescent="0.25">
      <c r="B413" t="s">
        <v>879</v>
      </c>
      <c r="H413">
        <v>1</v>
      </c>
      <c r="N413">
        <v>1</v>
      </c>
      <c r="O413" s="1">
        <v>1</v>
      </c>
      <c r="P413" s="11">
        <f t="shared" si="30"/>
        <v>9.0909090909090912E-2</v>
      </c>
      <c r="Q413" s="11">
        <f t="shared" si="31"/>
        <v>3.0303030303030303E-3</v>
      </c>
      <c r="R413" s="19">
        <f t="shared" si="32"/>
        <v>1</v>
      </c>
      <c r="S413" s="6">
        <f t="shared" si="33"/>
        <v>1</v>
      </c>
      <c r="T413" s="5">
        <f t="shared" si="34"/>
        <v>1</v>
      </c>
    </row>
    <row r="414" spans="2:20" x14ac:dyDescent="0.25">
      <c r="B414" t="s">
        <v>1050</v>
      </c>
      <c r="L414">
        <v>1</v>
      </c>
      <c r="N414">
        <v>1</v>
      </c>
      <c r="O414" s="1">
        <v>1</v>
      </c>
      <c r="P414" s="11">
        <f t="shared" si="30"/>
        <v>9.0909090909090912E-2</v>
      </c>
      <c r="Q414" s="11">
        <f t="shared" si="31"/>
        <v>3.0303030303030303E-3</v>
      </c>
      <c r="R414" s="19">
        <f t="shared" si="32"/>
        <v>1</v>
      </c>
      <c r="S414" s="6">
        <f t="shared" si="33"/>
        <v>1</v>
      </c>
      <c r="T414" s="5">
        <f t="shared" si="34"/>
        <v>1</v>
      </c>
    </row>
    <row r="415" spans="2:20" x14ac:dyDescent="0.25">
      <c r="B415" t="s">
        <v>929</v>
      </c>
      <c r="I415">
        <v>1</v>
      </c>
      <c r="N415">
        <v>1</v>
      </c>
      <c r="O415" s="1">
        <v>1</v>
      </c>
      <c r="P415" s="11">
        <f t="shared" si="30"/>
        <v>9.0909090909090912E-2</v>
      </c>
      <c r="Q415" s="11">
        <f t="shared" si="31"/>
        <v>3.0303030303030303E-3</v>
      </c>
      <c r="R415" s="19">
        <f t="shared" si="32"/>
        <v>1</v>
      </c>
      <c r="S415" s="6">
        <f t="shared" si="33"/>
        <v>1</v>
      </c>
      <c r="T415" s="5">
        <f t="shared" si="34"/>
        <v>1</v>
      </c>
    </row>
    <row r="416" spans="2:20" x14ac:dyDescent="0.25">
      <c r="B416" t="s">
        <v>186</v>
      </c>
      <c r="C416">
        <v>1</v>
      </c>
      <c r="D416">
        <v>1</v>
      </c>
      <c r="E416">
        <v>2</v>
      </c>
      <c r="F416">
        <v>1</v>
      </c>
      <c r="H416">
        <v>1</v>
      </c>
      <c r="J416">
        <v>4</v>
      </c>
      <c r="K416">
        <v>1</v>
      </c>
      <c r="L416">
        <v>2</v>
      </c>
      <c r="M416">
        <v>2</v>
      </c>
      <c r="N416">
        <v>15</v>
      </c>
      <c r="O416" s="1">
        <v>15</v>
      </c>
      <c r="P416" s="11">
        <f t="shared" si="30"/>
        <v>1.3636363636363635</v>
      </c>
      <c r="Q416" s="11">
        <f t="shared" si="31"/>
        <v>4.5454545454545449E-2</v>
      </c>
      <c r="R416" s="19">
        <f t="shared" si="32"/>
        <v>1</v>
      </c>
      <c r="S416" s="6">
        <f t="shared" si="33"/>
        <v>1</v>
      </c>
      <c r="T416" s="5">
        <f t="shared" si="34"/>
        <v>1</v>
      </c>
    </row>
    <row r="417" spans="2:20" x14ac:dyDescent="0.25">
      <c r="B417" t="s">
        <v>677</v>
      </c>
      <c r="E417">
        <v>1</v>
      </c>
      <c r="F417">
        <v>1</v>
      </c>
      <c r="I417">
        <v>2</v>
      </c>
      <c r="J417">
        <v>1</v>
      </c>
      <c r="N417">
        <v>5</v>
      </c>
      <c r="O417" s="1">
        <v>5</v>
      </c>
      <c r="P417" s="11">
        <f t="shared" si="30"/>
        <v>0.45454545454545453</v>
      </c>
      <c r="Q417" s="11">
        <f t="shared" si="31"/>
        <v>1.515151515151515E-2</v>
      </c>
      <c r="R417" s="19">
        <f t="shared" si="32"/>
        <v>1</v>
      </c>
      <c r="S417" s="6">
        <f t="shared" si="33"/>
        <v>1</v>
      </c>
      <c r="T417" s="5">
        <f t="shared" si="34"/>
        <v>1</v>
      </c>
    </row>
    <row r="418" spans="2:20" x14ac:dyDescent="0.25">
      <c r="B418" t="s">
        <v>187</v>
      </c>
      <c r="C418">
        <v>1</v>
      </c>
      <c r="D418">
        <v>1</v>
      </c>
      <c r="H418">
        <v>2</v>
      </c>
      <c r="I418">
        <v>1</v>
      </c>
      <c r="K418">
        <v>2</v>
      </c>
      <c r="N418">
        <v>7</v>
      </c>
      <c r="O418" s="1">
        <v>7</v>
      </c>
      <c r="P418" s="11">
        <f t="shared" si="30"/>
        <v>0.63636363636363635</v>
      </c>
      <c r="Q418" s="11">
        <f t="shared" si="31"/>
        <v>2.1212121212121213E-2</v>
      </c>
      <c r="R418" s="19">
        <f t="shared" si="32"/>
        <v>1</v>
      </c>
      <c r="S418" s="6">
        <f t="shared" si="33"/>
        <v>1</v>
      </c>
      <c r="T418" s="5">
        <f t="shared" si="34"/>
        <v>1</v>
      </c>
    </row>
    <row r="419" spans="2:20" x14ac:dyDescent="0.25">
      <c r="B419" t="s">
        <v>559</v>
      </c>
      <c r="D419">
        <v>1</v>
      </c>
      <c r="J419">
        <v>2</v>
      </c>
      <c r="L419">
        <v>2</v>
      </c>
      <c r="N419">
        <v>5</v>
      </c>
      <c r="O419" s="1">
        <v>5</v>
      </c>
      <c r="P419" s="11">
        <f t="shared" si="30"/>
        <v>0.45454545454545453</v>
      </c>
      <c r="Q419" s="11">
        <f t="shared" si="31"/>
        <v>1.515151515151515E-2</v>
      </c>
      <c r="R419" s="19">
        <f t="shared" si="32"/>
        <v>1</v>
      </c>
      <c r="S419" s="6">
        <f t="shared" si="33"/>
        <v>1</v>
      </c>
      <c r="T419" s="5">
        <f t="shared" si="34"/>
        <v>1</v>
      </c>
    </row>
    <row r="420" spans="2:20" x14ac:dyDescent="0.25">
      <c r="B420" t="s">
        <v>188</v>
      </c>
      <c r="C420">
        <v>3</v>
      </c>
      <c r="G420">
        <v>1</v>
      </c>
      <c r="H420">
        <v>1</v>
      </c>
      <c r="N420">
        <v>5</v>
      </c>
      <c r="O420" s="1">
        <v>5</v>
      </c>
      <c r="P420" s="11">
        <f t="shared" si="30"/>
        <v>0.45454545454545453</v>
      </c>
      <c r="Q420" s="11">
        <f t="shared" si="31"/>
        <v>1.515151515151515E-2</v>
      </c>
      <c r="R420" s="19">
        <f t="shared" si="32"/>
        <v>1</v>
      </c>
      <c r="S420" s="6">
        <f t="shared" si="33"/>
        <v>1</v>
      </c>
      <c r="T420" s="5">
        <f t="shared" si="34"/>
        <v>1</v>
      </c>
    </row>
    <row r="421" spans="2:20" x14ac:dyDescent="0.25">
      <c r="B421" t="s">
        <v>678</v>
      </c>
      <c r="E421">
        <v>1</v>
      </c>
      <c r="I421">
        <v>1</v>
      </c>
      <c r="N421">
        <v>2</v>
      </c>
      <c r="O421" s="1">
        <v>2</v>
      </c>
      <c r="P421" s="11">
        <f t="shared" si="30"/>
        <v>0.18181818181818182</v>
      </c>
      <c r="Q421" s="11">
        <f t="shared" si="31"/>
        <v>6.0606060606060606E-3</v>
      </c>
      <c r="R421" s="19">
        <f t="shared" si="32"/>
        <v>1</v>
      </c>
      <c r="S421" s="6">
        <f t="shared" si="33"/>
        <v>1</v>
      </c>
      <c r="T421" s="5">
        <f t="shared" si="34"/>
        <v>1</v>
      </c>
    </row>
    <row r="422" spans="2:20" x14ac:dyDescent="0.25">
      <c r="B422" t="s">
        <v>1002</v>
      </c>
      <c r="K422">
        <v>1</v>
      </c>
      <c r="N422">
        <v>1</v>
      </c>
      <c r="O422" s="1">
        <v>1</v>
      </c>
      <c r="P422" s="11">
        <f t="shared" si="30"/>
        <v>9.0909090909090912E-2</v>
      </c>
      <c r="Q422" s="11">
        <f t="shared" si="31"/>
        <v>3.0303030303030303E-3</v>
      </c>
      <c r="R422" s="19">
        <f t="shared" si="32"/>
        <v>1</v>
      </c>
      <c r="S422" s="6">
        <f t="shared" si="33"/>
        <v>1</v>
      </c>
      <c r="T422" s="5">
        <f t="shared" si="34"/>
        <v>1</v>
      </c>
    </row>
    <row r="423" spans="2:20" x14ac:dyDescent="0.25">
      <c r="B423" t="s">
        <v>767</v>
      </c>
      <c r="F423">
        <v>1</v>
      </c>
      <c r="G423">
        <v>1</v>
      </c>
      <c r="N423">
        <v>2</v>
      </c>
      <c r="O423" s="1">
        <v>2</v>
      </c>
      <c r="P423" s="11">
        <f t="shared" si="30"/>
        <v>0.18181818181818182</v>
      </c>
      <c r="Q423" s="11">
        <f t="shared" si="31"/>
        <v>6.0606060606060606E-3</v>
      </c>
      <c r="R423" s="19">
        <f t="shared" si="32"/>
        <v>1</v>
      </c>
      <c r="S423" s="6">
        <f t="shared" si="33"/>
        <v>1</v>
      </c>
      <c r="T423" s="5">
        <f t="shared" si="34"/>
        <v>1</v>
      </c>
    </row>
    <row r="424" spans="2:20" x14ac:dyDescent="0.25">
      <c r="B424" t="s">
        <v>1003</v>
      </c>
      <c r="K424">
        <v>1</v>
      </c>
      <c r="N424">
        <v>1</v>
      </c>
      <c r="O424" s="1">
        <v>1</v>
      </c>
      <c r="P424" s="11">
        <f t="shared" si="30"/>
        <v>9.0909090909090912E-2</v>
      </c>
      <c r="Q424" s="11">
        <f t="shared" si="31"/>
        <v>3.0303030303030303E-3</v>
      </c>
      <c r="R424" s="19">
        <f t="shared" si="32"/>
        <v>1</v>
      </c>
      <c r="S424" s="6">
        <f t="shared" si="33"/>
        <v>1</v>
      </c>
      <c r="T424" s="5">
        <f t="shared" si="34"/>
        <v>1</v>
      </c>
    </row>
    <row r="425" spans="2:20" x14ac:dyDescent="0.25">
      <c r="B425" t="s">
        <v>679</v>
      </c>
      <c r="E425">
        <v>1</v>
      </c>
      <c r="N425">
        <v>1</v>
      </c>
      <c r="O425" s="1">
        <v>1</v>
      </c>
      <c r="P425" s="11">
        <f t="shared" si="30"/>
        <v>9.0909090909090912E-2</v>
      </c>
      <c r="Q425" s="11">
        <f t="shared" si="31"/>
        <v>3.0303030303030303E-3</v>
      </c>
      <c r="R425" s="19">
        <f t="shared" si="32"/>
        <v>1</v>
      </c>
      <c r="S425" s="6">
        <f t="shared" si="33"/>
        <v>1</v>
      </c>
      <c r="T425" s="5">
        <f t="shared" si="34"/>
        <v>1</v>
      </c>
    </row>
    <row r="426" spans="2:20" x14ac:dyDescent="0.25">
      <c r="B426" t="s">
        <v>768</v>
      </c>
      <c r="F426">
        <v>1</v>
      </c>
      <c r="G426">
        <v>1</v>
      </c>
      <c r="N426">
        <v>2</v>
      </c>
      <c r="O426" s="1">
        <v>2</v>
      </c>
      <c r="P426" s="11">
        <f t="shared" si="30"/>
        <v>0.18181818181818182</v>
      </c>
      <c r="Q426" s="11">
        <f t="shared" si="31"/>
        <v>6.0606060606060606E-3</v>
      </c>
      <c r="R426" s="19">
        <f t="shared" si="32"/>
        <v>1</v>
      </c>
      <c r="S426" s="6">
        <f t="shared" si="33"/>
        <v>1</v>
      </c>
      <c r="T426" s="5">
        <f t="shared" si="34"/>
        <v>1</v>
      </c>
    </row>
    <row r="427" spans="2:20" x14ac:dyDescent="0.25">
      <c r="B427" t="s">
        <v>769</v>
      </c>
      <c r="F427">
        <v>1</v>
      </c>
      <c r="N427">
        <v>1</v>
      </c>
      <c r="O427" s="1">
        <v>1</v>
      </c>
      <c r="P427" s="11">
        <f t="shared" si="30"/>
        <v>9.0909090909090912E-2</v>
      </c>
      <c r="Q427" s="11">
        <f t="shared" si="31"/>
        <v>3.0303030303030303E-3</v>
      </c>
      <c r="R427" s="19">
        <f t="shared" si="32"/>
        <v>1</v>
      </c>
      <c r="S427" s="6">
        <f t="shared" si="33"/>
        <v>1</v>
      </c>
      <c r="T427" s="5">
        <f t="shared" si="34"/>
        <v>1</v>
      </c>
    </row>
    <row r="428" spans="2:20" x14ac:dyDescent="0.25">
      <c r="B428" t="s">
        <v>189</v>
      </c>
      <c r="C428">
        <v>1</v>
      </c>
      <c r="I428">
        <v>1</v>
      </c>
      <c r="N428">
        <v>2</v>
      </c>
      <c r="O428" s="1">
        <v>2</v>
      </c>
      <c r="P428" s="11">
        <f t="shared" si="30"/>
        <v>0.18181818181818182</v>
      </c>
      <c r="Q428" s="11">
        <f t="shared" si="31"/>
        <v>6.0606060606060606E-3</v>
      </c>
      <c r="R428" s="19">
        <f t="shared" si="32"/>
        <v>1</v>
      </c>
      <c r="S428" s="6">
        <f t="shared" si="33"/>
        <v>1</v>
      </c>
      <c r="T428" s="5">
        <f t="shared" si="34"/>
        <v>1</v>
      </c>
    </row>
    <row r="429" spans="2:20" x14ac:dyDescent="0.25">
      <c r="B429" t="s">
        <v>190</v>
      </c>
      <c r="C429">
        <v>2</v>
      </c>
      <c r="E429">
        <v>2</v>
      </c>
      <c r="F429">
        <v>4</v>
      </c>
      <c r="G429">
        <v>4</v>
      </c>
      <c r="N429">
        <v>12</v>
      </c>
      <c r="O429" s="1">
        <v>12</v>
      </c>
      <c r="P429" s="11">
        <f t="shared" si="30"/>
        <v>1.0909090909090908</v>
      </c>
      <c r="Q429" s="11">
        <f t="shared" si="31"/>
        <v>3.6363636363636362E-2</v>
      </c>
      <c r="R429" s="19">
        <f t="shared" si="32"/>
        <v>1</v>
      </c>
      <c r="S429" s="6">
        <f t="shared" si="33"/>
        <v>1</v>
      </c>
      <c r="T429" s="5">
        <f t="shared" si="34"/>
        <v>1</v>
      </c>
    </row>
    <row r="430" spans="2:20" x14ac:dyDescent="0.25">
      <c r="B430" t="s">
        <v>1004</v>
      </c>
      <c r="K430">
        <v>1</v>
      </c>
      <c r="L430">
        <v>5</v>
      </c>
      <c r="M430">
        <v>5</v>
      </c>
      <c r="N430">
        <v>11</v>
      </c>
      <c r="O430" s="1">
        <v>11</v>
      </c>
      <c r="P430" s="11">
        <f t="shared" si="30"/>
        <v>1</v>
      </c>
      <c r="Q430" s="11">
        <f t="shared" si="31"/>
        <v>3.3333333333333333E-2</v>
      </c>
      <c r="R430" s="19">
        <f t="shared" si="32"/>
        <v>1</v>
      </c>
      <c r="S430" s="6">
        <f t="shared" si="33"/>
        <v>1</v>
      </c>
      <c r="T430" s="5">
        <f t="shared" si="34"/>
        <v>1</v>
      </c>
    </row>
    <row r="431" spans="2:20" x14ac:dyDescent="0.25">
      <c r="B431" t="s">
        <v>1051</v>
      </c>
      <c r="L431">
        <v>3</v>
      </c>
      <c r="M431">
        <v>1</v>
      </c>
      <c r="N431">
        <v>4</v>
      </c>
      <c r="O431" s="1">
        <v>4</v>
      </c>
      <c r="P431" s="11">
        <f t="shared" si="30"/>
        <v>0.36363636363636365</v>
      </c>
      <c r="Q431" s="11">
        <f t="shared" si="31"/>
        <v>1.2121212121212121E-2</v>
      </c>
      <c r="R431" s="19">
        <f t="shared" si="32"/>
        <v>1</v>
      </c>
      <c r="S431" s="6">
        <f t="shared" si="33"/>
        <v>1</v>
      </c>
      <c r="T431" s="5">
        <f t="shared" si="34"/>
        <v>1</v>
      </c>
    </row>
    <row r="432" spans="2:20" x14ac:dyDescent="0.25">
      <c r="B432" t="s">
        <v>880</v>
      </c>
      <c r="H432">
        <v>1</v>
      </c>
      <c r="I432">
        <v>1</v>
      </c>
      <c r="J432">
        <v>2</v>
      </c>
      <c r="K432">
        <v>2</v>
      </c>
      <c r="L432">
        <v>2</v>
      </c>
      <c r="M432">
        <v>1</v>
      </c>
      <c r="N432">
        <v>9</v>
      </c>
      <c r="O432" s="1">
        <v>9</v>
      </c>
      <c r="P432" s="11">
        <f t="shared" si="30"/>
        <v>0.81818181818181823</v>
      </c>
      <c r="Q432" s="11">
        <f t="shared" si="31"/>
        <v>2.7272727272727275E-2</v>
      </c>
      <c r="R432" s="19">
        <f t="shared" si="32"/>
        <v>1</v>
      </c>
      <c r="S432" s="6">
        <f t="shared" si="33"/>
        <v>1</v>
      </c>
      <c r="T432" s="5">
        <f t="shared" si="34"/>
        <v>1</v>
      </c>
    </row>
    <row r="433" spans="2:20" x14ac:dyDescent="0.25">
      <c r="B433" t="s">
        <v>1005</v>
      </c>
      <c r="K433">
        <v>2</v>
      </c>
      <c r="M433">
        <v>3</v>
      </c>
      <c r="N433">
        <v>5</v>
      </c>
      <c r="O433" s="1">
        <v>5</v>
      </c>
      <c r="P433" s="11">
        <f t="shared" si="30"/>
        <v>0.45454545454545453</v>
      </c>
      <c r="Q433" s="11">
        <f t="shared" si="31"/>
        <v>1.515151515151515E-2</v>
      </c>
      <c r="R433" s="19">
        <f t="shared" si="32"/>
        <v>1</v>
      </c>
      <c r="S433" s="6">
        <f t="shared" si="33"/>
        <v>1</v>
      </c>
      <c r="T433" s="5">
        <f t="shared" si="34"/>
        <v>1</v>
      </c>
    </row>
    <row r="434" spans="2:20" x14ac:dyDescent="0.25">
      <c r="B434" t="s">
        <v>560</v>
      </c>
      <c r="D434">
        <v>2</v>
      </c>
      <c r="H434">
        <v>1</v>
      </c>
      <c r="I434">
        <v>1</v>
      </c>
      <c r="J434">
        <v>2</v>
      </c>
      <c r="M434">
        <v>1</v>
      </c>
      <c r="N434">
        <v>7</v>
      </c>
      <c r="O434" s="1">
        <v>7</v>
      </c>
      <c r="P434" s="11">
        <f t="shared" si="30"/>
        <v>0.63636363636363635</v>
      </c>
      <c r="Q434" s="11">
        <f t="shared" si="31"/>
        <v>2.1212121212121213E-2</v>
      </c>
      <c r="R434" s="19">
        <f t="shared" si="32"/>
        <v>1</v>
      </c>
      <c r="S434" s="6">
        <f t="shared" si="33"/>
        <v>1</v>
      </c>
      <c r="T434" s="5">
        <f t="shared" si="34"/>
        <v>1</v>
      </c>
    </row>
    <row r="435" spans="2:20" x14ac:dyDescent="0.25">
      <c r="B435" t="s">
        <v>968</v>
      </c>
      <c r="J435">
        <v>1</v>
      </c>
      <c r="N435">
        <v>1</v>
      </c>
      <c r="O435" s="1">
        <v>1</v>
      </c>
      <c r="P435" s="11">
        <f t="shared" si="30"/>
        <v>9.0909090909090912E-2</v>
      </c>
      <c r="Q435" s="11">
        <f t="shared" si="31"/>
        <v>3.0303030303030303E-3</v>
      </c>
      <c r="R435" s="19">
        <f t="shared" si="32"/>
        <v>1</v>
      </c>
      <c r="S435" s="6">
        <f t="shared" si="33"/>
        <v>1</v>
      </c>
      <c r="T435" s="5">
        <f t="shared" si="34"/>
        <v>1</v>
      </c>
    </row>
    <row r="436" spans="2:20" x14ac:dyDescent="0.25">
      <c r="B436" t="s">
        <v>191</v>
      </c>
      <c r="C436">
        <v>2</v>
      </c>
      <c r="M436">
        <v>1</v>
      </c>
      <c r="N436">
        <v>3</v>
      </c>
      <c r="O436" s="1">
        <v>3</v>
      </c>
      <c r="P436" s="11">
        <f t="shared" si="30"/>
        <v>0.27272727272727271</v>
      </c>
      <c r="Q436" s="11">
        <f t="shared" si="31"/>
        <v>9.0909090909090905E-3</v>
      </c>
      <c r="R436" s="19">
        <f t="shared" si="32"/>
        <v>1</v>
      </c>
      <c r="S436" s="6">
        <f t="shared" si="33"/>
        <v>1</v>
      </c>
      <c r="T436" s="5">
        <f t="shared" si="34"/>
        <v>1</v>
      </c>
    </row>
    <row r="437" spans="2:20" x14ac:dyDescent="0.25">
      <c r="B437" t="s">
        <v>192</v>
      </c>
      <c r="C437">
        <v>8</v>
      </c>
      <c r="D437">
        <v>4</v>
      </c>
      <c r="E437">
        <v>3</v>
      </c>
      <c r="G437">
        <v>2</v>
      </c>
      <c r="H437">
        <v>4</v>
      </c>
      <c r="L437">
        <v>20</v>
      </c>
      <c r="M437">
        <v>5</v>
      </c>
      <c r="N437">
        <v>46</v>
      </c>
      <c r="O437" s="1">
        <v>46</v>
      </c>
      <c r="P437" s="11">
        <f t="shared" si="30"/>
        <v>4.1818181818181817</v>
      </c>
      <c r="Q437" s="11">
        <f t="shared" si="31"/>
        <v>0.13939393939393938</v>
      </c>
      <c r="R437" s="19">
        <f t="shared" si="32"/>
        <v>3</v>
      </c>
      <c r="S437" s="6">
        <f t="shared" si="33"/>
        <v>3</v>
      </c>
      <c r="T437" s="5">
        <f t="shared" si="34"/>
        <v>1</v>
      </c>
    </row>
    <row r="438" spans="2:20" x14ac:dyDescent="0.25">
      <c r="B438" t="s">
        <v>969</v>
      </c>
      <c r="J438">
        <v>1</v>
      </c>
      <c r="K438">
        <v>1</v>
      </c>
      <c r="N438">
        <v>2</v>
      </c>
      <c r="O438" s="1">
        <v>2</v>
      </c>
      <c r="P438" s="11">
        <f t="shared" si="30"/>
        <v>0.18181818181818182</v>
      </c>
      <c r="Q438" s="11">
        <f t="shared" si="31"/>
        <v>6.0606060606060606E-3</v>
      </c>
      <c r="R438" s="19">
        <f t="shared" si="32"/>
        <v>1</v>
      </c>
      <c r="S438" s="6">
        <f t="shared" si="33"/>
        <v>1</v>
      </c>
      <c r="T438" s="5">
        <f t="shared" si="34"/>
        <v>1</v>
      </c>
    </row>
    <row r="439" spans="2:20" x14ac:dyDescent="0.25">
      <c r="B439" t="s">
        <v>881</v>
      </c>
      <c r="H439">
        <v>1</v>
      </c>
      <c r="N439">
        <v>1</v>
      </c>
      <c r="O439" s="1">
        <v>1</v>
      </c>
      <c r="P439" s="11">
        <f t="shared" si="30"/>
        <v>9.0909090909090912E-2</v>
      </c>
      <c r="Q439" s="11">
        <f t="shared" si="31"/>
        <v>3.0303030303030303E-3</v>
      </c>
      <c r="R439" s="19">
        <f t="shared" si="32"/>
        <v>1</v>
      </c>
      <c r="S439" s="6">
        <f t="shared" si="33"/>
        <v>1</v>
      </c>
      <c r="T439" s="5">
        <f t="shared" si="34"/>
        <v>1</v>
      </c>
    </row>
    <row r="440" spans="2:20" x14ac:dyDescent="0.25">
      <c r="B440" t="s">
        <v>827</v>
      </c>
      <c r="G440">
        <v>1</v>
      </c>
      <c r="K440">
        <v>1</v>
      </c>
      <c r="N440">
        <v>2</v>
      </c>
      <c r="O440" s="1">
        <v>2</v>
      </c>
      <c r="P440" s="11">
        <f t="shared" si="30"/>
        <v>0.18181818181818182</v>
      </c>
      <c r="Q440" s="11">
        <f t="shared" si="31"/>
        <v>6.0606060606060606E-3</v>
      </c>
      <c r="R440" s="19">
        <f t="shared" si="32"/>
        <v>1</v>
      </c>
      <c r="S440" s="6">
        <f t="shared" si="33"/>
        <v>1</v>
      </c>
      <c r="T440" s="5">
        <f t="shared" si="34"/>
        <v>1</v>
      </c>
    </row>
    <row r="441" spans="2:20" x14ac:dyDescent="0.25">
      <c r="B441" t="s">
        <v>193</v>
      </c>
      <c r="C441">
        <v>29</v>
      </c>
      <c r="D441">
        <v>14</v>
      </c>
      <c r="E441">
        <v>1</v>
      </c>
      <c r="N441">
        <v>44</v>
      </c>
      <c r="O441" s="1">
        <v>44</v>
      </c>
      <c r="P441" s="11">
        <f t="shared" si="30"/>
        <v>4</v>
      </c>
      <c r="Q441" s="11">
        <f t="shared" si="31"/>
        <v>0.13333333333333333</v>
      </c>
      <c r="R441" s="19">
        <f t="shared" si="32"/>
        <v>3</v>
      </c>
      <c r="S441" s="6">
        <f t="shared" si="33"/>
        <v>3</v>
      </c>
      <c r="T441" s="5">
        <f t="shared" si="34"/>
        <v>1</v>
      </c>
    </row>
    <row r="442" spans="2:20" x14ac:dyDescent="0.25">
      <c r="B442" t="s">
        <v>194</v>
      </c>
      <c r="C442">
        <v>1</v>
      </c>
      <c r="E442">
        <v>4</v>
      </c>
      <c r="F442">
        <v>8</v>
      </c>
      <c r="G442">
        <v>2</v>
      </c>
      <c r="L442">
        <v>2</v>
      </c>
      <c r="M442">
        <v>1</v>
      </c>
      <c r="N442">
        <v>18</v>
      </c>
      <c r="O442" s="1">
        <v>18</v>
      </c>
      <c r="P442" s="11">
        <f t="shared" si="30"/>
        <v>1.6363636363636365</v>
      </c>
      <c r="Q442" s="11">
        <f t="shared" si="31"/>
        <v>5.454545454545455E-2</v>
      </c>
      <c r="R442" s="19">
        <f t="shared" si="32"/>
        <v>1</v>
      </c>
      <c r="S442" s="6">
        <f t="shared" si="33"/>
        <v>1</v>
      </c>
      <c r="T442" s="5">
        <f t="shared" si="34"/>
        <v>1</v>
      </c>
    </row>
    <row r="443" spans="2:20" x14ac:dyDescent="0.25">
      <c r="B443" t="s">
        <v>561</v>
      </c>
      <c r="D443">
        <v>2</v>
      </c>
      <c r="E443">
        <v>1</v>
      </c>
      <c r="H443">
        <v>1</v>
      </c>
      <c r="K443">
        <v>2</v>
      </c>
      <c r="L443">
        <v>1</v>
      </c>
      <c r="N443">
        <v>7</v>
      </c>
      <c r="O443" s="1">
        <v>7</v>
      </c>
      <c r="P443" s="11">
        <f t="shared" si="30"/>
        <v>0.63636363636363635</v>
      </c>
      <c r="Q443" s="11">
        <f t="shared" si="31"/>
        <v>2.1212121212121213E-2</v>
      </c>
      <c r="R443" s="19">
        <f t="shared" si="32"/>
        <v>1</v>
      </c>
      <c r="S443" s="6">
        <f t="shared" si="33"/>
        <v>1</v>
      </c>
      <c r="T443" s="5">
        <f t="shared" si="34"/>
        <v>1</v>
      </c>
    </row>
    <row r="444" spans="2:20" x14ac:dyDescent="0.25">
      <c r="B444" t="s">
        <v>1052</v>
      </c>
      <c r="L444">
        <v>1</v>
      </c>
      <c r="N444">
        <v>1</v>
      </c>
      <c r="O444" s="1">
        <v>1</v>
      </c>
      <c r="P444" s="11">
        <f t="shared" si="30"/>
        <v>9.0909090909090912E-2</v>
      </c>
      <c r="Q444" s="11">
        <f t="shared" si="31"/>
        <v>3.0303030303030303E-3</v>
      </c>
      <c r="R444" s="19">
        <f t="shared" si="32"/>
        <v>1</v>
      </c>
      <c r="S444" s="6">
        <f t="shared" si="33"/>
        <v>1</v>
      </c>
      <c r="T444" s="5">
        <f t="shared" si="34"/>
        <v>1</v>
      </c>
    </row>
    <row r="445" spans="2:20" x14ac:dyDescent="0.25">
      <c r="B445" t="s">
        <v>195</v>
      </c>
      <c r="C445">
        <v>10</v>
      </c>
      <c r="D445">
        <v>21</v>
      </c>
      <c r="E445">
        <v>13</v>
      </c>
      <c r="F445">
        <v>9</v>
      </c>
      <c r="G445">
        <v>11</v>
      </c>
      <c r="H445">
        <v>8</v>
      </c>
      <c r="I445">
        <v>7</v>
      </c>
      <c r="J445">
        <v>12</v>
      </c>
      <c r="K445">
        <v>18</v>
      </c>
      <c r="L445">
        <v>24</v>
      </c>
      <c r="M445">
        <v>2</v>
      </c>
      <c r="N445">
        <v>135</v>
      </c>
      <c r="O445" s="1">
        <v>135</v>
      </c>
      <c r="P445" s="11">
        <f t="shared" si="30"/>
        <v>12.272727272727273</v>
      </c>
      <c r="Q445" s="11">
        <f t="shared" si="31"/>
        <v>0.40909090909090912</v>
      </c>
      <c r="R445" s="19">
        <f t="shared" si="32"/>
        <v>7</v>
      </c>
      <c r="S445" s="6">
        <f t="shared" si="33"/>
        <v>5</v>
      </c>
      <c r="T445" s="5">
        <f t="shared" si="34"/>
        <v>3</v>
      </c>
    </row>
    <row r="446" spans="2:20" x14ac:dyDescent="0.25">
      <c r="B446" t="s">
        <v>196</v>
      </c>
      <c r="C446">
        <v>35</v>
      </c>
      <c r="D446">
        <v>23</v>
      </c>
      <c r="E446">
        <v>10</v>
      </c>
      <c r="F446">
        <v>36</v>
      </c>
      <c r="H446">
        <v>10</v>
      </c>
      <c r="I446">
        <v>17</v>
      </c>
      <c r="J446">
        <v>1</v>
      </c>
      <c r="K446">
        <v>7</v>
      </c>
      <c r="L446">
        <v>87</v>
      </c>
      <c r="M446">
        <v>2</v>
      </c>
      <c r="N446">
        <v>228</v>
      </c>
      <c r="O446" s="1">
        <v>228</v>
      </c>
      <c r="P446" s="11">
        <f t="shared" si="30"/>
        <v>20.727272727272727</v>
      </c>
      <c r="Q446" s="11">
        <f t="shared" si="31"/>
        <v>0.69090909090909092</v>
      </c>
      <c r="R446" s="19">
        <f t="shared" si="32"/>
        <v>11</v>
      </c>
      <c r="S446" s="6">
        <f t="shared" si="33"/>
        <v>9</v>
      </c>
      <c r="T446" s="5">
        <f t="shared" si="34"/>
        <v>5</v>
      </c>
    </row>
    <row r="447" spans="2:20" x14ac:dyDescent="0.25">
      <c r="B447" t="s">
        <v>562</v>
      </c>
      <c r="D447">
        <v>2</v>
      </c>
      <c r="G447">
        <v>1</v>
      </c>
      <c r="H447">
        <v>1</v>
      </c>
      <c r="J447">
        <v>2</v>
      </c>
      <c r="N447">
        <v>6</v>
      </c>
      <c r="O447" s="1">
        <v>6</v>
      </c>
      <c r="P447" s="11">
        <f t="shared" si="30"/>
        <v>0.54545454545454541</v>
      </c>
      <c r="Q447" s="11">
        <f t="shared" si="31"/>
        <v>1.8181818181818181E-2</v>
      </c>
      <c r="R447" s="19">
        <f t="shared" si="32"/>
        <v>1</v>
      </c>
      <c r="S447" s="6">
        <f t="shared" si="33"/>
        <v>1</v>
      </c>
      <c r="T447" s="5">
        <f t="shared" si="34"/>
        <v>1</v>
      </c>
    </row>
    <row r="448" spans="2:20" x14ac:dyDescent="0.25">
      <c r="B448" t="s">
        <v>563</v>
      </c>
      <c r="D448">
        <v>0</v>
      </c>
      <c r="K448">
        <v>2</v>
      </c>
      <c r="M448">
        <v>3</v>
      </c>
      <c r="N448">
        <v>5</v>
      </c>
      <c r="O448" s="1">
        <v>5</v>
      </c>
      <c r="P448" s="11">
        <f t="shared" si="30"/>
        <v>0.45454545454545453</v>
      </c>
      <c r="Q448" s="11">
        <f t="shared" si="31"/>
        <v>1.515151515151515E-2</v>
      </c>
      <c r="R448" s="19">
        <f t="shared" si="32"/>
        <v>1</v>
      </c>
      <c r="S448" s="6">
        <f t="shared" si="33"/>
        <v>1</v>
      </c>
      <c r="T448" s="5">
        <f t="shared" si="34"/>
        <v>1</v>
      </c>
    </row>
    <row r="449" spans="2:20" x14ac:dyDescent="0.25">
      <c r="B449" t="s">
        <v>680</v>
      </c>
      <c r="E449">
        <v>1</v>
      </c>
      <c r="N449">
        <v>1</v>
      </c>
      <c r="O449" s="1">
        <v>1</v>
      </c>
      <c r="P449" s="11">
        <f t="shared" si="30"/>
        <v>9.0909090909090912E-2</v>
      </c>
      <c r="Q449" s="11">
        <f t="shared" si="31"/>
        <v>3.0303030303030303E-3</v>
      </c>
      <c r="R449" s="19">
        <f t="shared" si="32"/>
        <v>1</v>
      </c>
      <c r="S449" s="6">
        <f t="shared" si="33"/>
        <v>1</v>
      </c>
      <c r="T449" s="5">
        <f t="shared" si="34"/>
        <v>1</v>
      </c>
    </row>
    <row r="450" spans="2:20" x14ac:dyDescent="0.25">
      <c r="B450" t="s">
        <v>681</v>
      </c>
      <c r="E450">
        <v>1</v>
      </c>
      <c r="N450">
        <v>1</v>
      </c>
      <c r="O450" s="1">
        <v>1</v>
      </c>
      <c r="P450" s="11">
        <f t="shared" si="30"/>
        <v>9.0909090909090912E-2</v>
      </c>
      <c r="Q450" s="11">
        <f t="shared" si="31"/>
        <v>3.0303030303030303E-3</v>
      </c>
      <c r="R450" s="19">
        <f t="shared" si="32"/>
        <v>1</v>
      </c>
      <c r="S450" s="6">
        <f t="shared" si="33"/>
        <v>1</v>
      </c>
      <c r="T450" s="5">
        <f t="shared" si="34"/>
        <v>1</v>
      </c>
    </row>
    <row r="451" spans="2:20" x14ac:dyDescent="0.25">
      <c r="B451" t="s">
        <v>930</v>
      </c>
      <c r="I451">
        <v>1</v>
      </c>
      <c r="K451">
        <v>1</v>
      </c>
      <c r="L451">
        <v>3</v>
      </c>
      <c r="N451">
        <v>5</v>
      </c>
      <c r="O451" s="1">
        <v>5</v>
      </c>
      <c r="P451" s="11">
        <f t="shared" si="30"/>
        <v>0.45454545454545453</v>
      </c>
      <c r="Q451" s="11">
        <f t="shared" si="31"/>
        <v>1.515151515151515E-2</v>
      </c>
      <c r="R451" s="19">
        <f t="shared" si="32"/>
        <v>1</v>
      </c>
      <c r="S451" s="6">
        <f t="shared" si="33"/>
        <v>1</v>
      </c>
      <c r="T451" s="5">
        <f t="shared" si="34"/>
        <v>1</v>
      </c>
    </row>
    <row r="452" spans="2:20" x14ac:dyDescent="0.25">
      <c r="B452" t="s">
        <v>197</v>
      </c>
      <c r="C452">
        <v>9</v>
      </c>
      <c r="D452">
        <v>9</v>
      </c>
      <c r="E452">
        <v>4</v>
      </c>
      <c r="F452">
        <v>2</v>
      </c>
      <c r="G452">
        <v>5</v>
      </c>
      <c r="H452">
        <v>3</v>
      </c>
      <c r="I452">
        <v>4</v>
      </c>
      <c r="J452">
        <v>5</v>
      </c>
      <c r="K452">
        <v>2</v>
      </c>
      <c r="L452">
        <v>2</v>
      </c>
      <c r="M452">
        <v>2</v>
      </c>
      <c r="N452">
        <v>47</v>
      </c>
      <c r="O452" s="1">
        <v>47</v>
      </c>
      <c r="P452" s="11">
        <f t="shared" si="30"/>
        <v>4.2727272727272725</v>
      </c>
      <c r="Q452" s="11">
        <f t="shared" si="31"/>
        <v>0.14242424242424243</v>
      </c>
      <c r="R452" s="19">
        <f t="shared" si="32"/>
        <v>3</v>
      </c>
      <c r="S452" s="6">
        <f t="shared" si="33"/>
        <v>3</v>
      </c>
      <c r="T452" s="5">
        <f t="shared" si="34"/>
        <v>1</v>
      </c>
    </row>
    <row r="453" spans="2:20" x14ac:dyDescent="0.25">
      <c r="B453" t="s">
        <v>1053</v>
      </c>
      <c r="L453">
        <v>0</v>
      </c>
      <c r="N453">
        <v>0</v>
      </c>
      <c r="O453" s="1">
        <v>0</v>
      </c>
      <c r="P453" s="11">
        <f t="shared" si="30"/>
        <v>0</v>
      </c>
      <c r="Q453" s="11">
        <f t="shared" si="31"/>
        <v>0</v>
      </c>
      <c r="R453" s="19">
        <f t="shared" si="32"/>
        <v>1</v>
      </c>
      <c r="S453" s="6">
        <f t="shared" si="33"/>
        <v>1</v>
      </c>
      <c r="T453" s="5">
        <f t="shared" si="34"/>
        <v>1</v>
      </c>
    </row>
    <row r="454" spans="2:20" x14ac:dyDescent="0.25">
      <c r="B454" t="s">
        <v>198</v>
      </c>
      <c r="C454">
        <v>3</v>
      </c>
      <c r="D454">
        <v>7</v>
      </c>
      <c r="E454">
        <v>3</v>
      </c>
      <c r="F454">
        <v>1</v>
      </c>
      <c r="G454">
        <v>2</v>
      </c>
      <c r="H454">
        <v>2</v>
      </c>
      <c r="I454">
        <v>1</v>
      </c>
      <c r="J454">
        <v>6</v>
      </c>
      <c r="K454">
        <v>1</v>
      </c>
      <c r="L454">
        <v>7</v>
      </c>
      <c r="M454">
        <v>2</v>
      </c>
      <c r="N454">
        <v>35</v>
      </c>
      <c r="O454" s="1">
        <v>35</v>
      </c>
      <c r="P454" s="11">
        <f t="shared" ref="P454:P517" si="35">O454/11</f>
        <v>3.1818181818181817</v>
      </c>
      <c r="Q454" s="11">
        <f t="shared" si="31"/>
        <v>0.10606060606060605</v>
      </c>
      <c r="R454" s="19">
        <f t="shared" si="32"/>
        <v>3</v>
      </c>
      <c r="S454" s="6">
        <f t="shared" si="33"/>
        <v>3</v>
      </c>
      <c r="T454" s="5">
        <f t="shared" si="34"/>
        <v>1</v>
      </c>
    </row>
    <row r="455" spans="2:20" x14ac:dyDescent="0.25">
      <c r="B455" t="s">
        <v>564</v>
      </c>
      <c r="D455">
        <v>2</v>
      </c>
      <c r="E455">
        <v>1</v>
      </c>
      <c r="N455">
        <v>3</v>
      </c>
      <c r="O455" s="1">
        <v>3</v>
      </c>
      <c r="P455" s="11">
        <f t="shared" si="35"/>
        <v>0.27272727272727271</v>
      </c>
      <c r="Q455" s="11">
        <f t="shared" ref="Q455:Q518" si="36">P455/30</f>
        <v>9.0909090909090905E-3</v>
      </c>
      <c r="R455" s="19">
        <f t="shared" ref="R455:R518" si="37">ODD(Q455*14)</f>
        <v>1</v>
      </c>
      <c r="S455" s="6">
        <f t="shared" ref="S455:S518" si="38">ODD(Q455*10.5)</f>
        <v>1</v>
      </c>
      <c r="T455" s="5">
        <f t="shared" ref="T455:T518" si="39">ODD(Q455*7)</f>
        <v>1</v>
      </c>
    </row>
    <row r="456" spans="2:20" x14ac:dyDescent="0.25">
      <c r="B456" t="s">
        <v>828</v>
      </c>
      <c r="G456">
        <v>1</v>
      </c>
      <c r="N456">
        <v>1</v>
      </c>
      <c r="O456" s="1">
        <v>1</v>
      </c>
      <c r="P456" s="11">
        <f t="shared" si="35"/>
        <v>9.0909090909090912E-2</v>
      </c>
      <c r="Q456" s="11">
        <f t="shared" si="36"/>
        <v>3.0303030303030303E-3</v>
      </c>
      <c r="R456" s="19">
        <f t="shared" si="37"/>
        <v>1</v>
      </c>
      <c r="S456" s="6">
        <f t="shared" si="38"/>
        <v>1</v>
      </c>
      <c r="T456" s="5">
        <f t="shared" si="39"/>
        <v>1</v>
      </c>
    </row>
    <row r="457" spans="2:20" x14ac:dyDescent="0.25">
      <c r="B457" t="s">
        <v>199</v>
      </c>
      <c r="C457">
        <v>5</v>
      </c>
      <c r="D457">
        <v>2</v>
      </c>
      <c r="E457">
        <v>2</v>
      </c>
      <c r="F457">
        <v>1</v>
      </c>
      <c r="G457">
        <v>5</v>
      </c>
      <c r="H457">
        <v>2</v>
      </c>
      <c r="I457">
        <v>2</v>
      </c>
      <c r="J457">
        <v>1</v>
      </c>
      <c r="K457">
        <v>4</v>
      </c>
      <c r="L457">
        <v>4</v>
      </c>
      <c r="M457">
        <v>3</v>
      </c>
      <c r="N457">
        <v>31</v>
      </c>
      <c r="O457" s="1">
        <v>31</v>
      </c>
      <c r="P457" s="11">
        <f t="shared" si="35"/>
        <v>2.8181818181818183</v>
      </c>
      <c r="Q457" s="11">
        <f t="shared" si="36"/>
        <v>9.3939393939393948E-2</v>
      </c>
      <c r="R457" s="19">
        <f t="shared" si="37"/>
        <v>3</v>
      </c>
      <c r="S457" s="6">
        <f t="shared" si="38"/>
        <v>1</v>
      </c>
      <c r="T457" s="5">
        <f t="shared" si="39"/>
        <v>1</v>
      </c>
    </row>
    <row r="458" spans="2:20" x14ac:dyDescent="0.25">
      <c r="B458" t="s">
        <v>200</v>
      </c>
      <c r="C458">
        <v>38</v>
      </c>
      <c r="D458">
        <v>4</v>
      </c>
      <c r="E458">
        <v>12</v>
      </c>
      <c r="F458">
        <v>16</v>
      </c>
      <c r="G458">
        <v>87</v>
      </c>
      <c r="H458">
        <v>25</v>
      </c>
      <c r="I458">
        <v>5</v>
      </c>
      <c r="J458">
        <v>48</v>
      </c>
      <c r="K458">
        <v>24</v>
      </c>
      <c r="L458">
        <v>32</v>
      </c>
      <c r="N458">
        <v>291</v>
      </c>
      <c r="O458" s="1">
        <v>291</v>
      </c>
      <c r="P458" s="11">
        <f t="shared" si="35"/>
        <v>26.454545454545453</v>
      </c>
      <c r="Q458" s="11">
        <f t="shared" si="36"/>
        <v>0.88181818181818172</v>
      </c>
      <c r="R458" s="19">
        <f t="shared" si="37"/>
        <v>13</v>
      </c>
      <c r="S458" s="6">
        <f t="shared" si="38"/>
        <v>11</v>
      </c>
      <c r="T458" s="5">
        <f t="shared" si="39"/>
        <v>7</v>
      </c>
    </row>
    <row r="459" spans="2:20" x14ac:dyDescent="0.25">
      <c r="B459" t="s">
        <v>201</v>
      </c>
      <c r="C459">
        <v>9</v>
      </c>
      <c r="E459">
        <v>5</v>
      </c>
      <c r="F459">
        <v>10</v>
      </c>
      <c r="G459">
        <v>5</v>
      </c>
      <c r="H459">
        <v>3</v>
      </c>
      <c r="I459">
        <v>10</v>
      </c>
      <c r="J459">
        <v>6</v>
      </c>
      <c r="L459">
        <v>6</v>
      </c>
      <c r="M459">
        <v>15</v>
      </c>
      <c r="N459">
        <v>69</v>
      </c>
      <c r="O459" s="1">
        <v>69</v>
      </c>
      <c r="P459" s="11">
        <f t="shared" si="35"/>
        <v>6.2727272727272725</v>
      </c>
      <c r="Q459" s="11">
        <f t="shared" si="36"/>
        <v>0.20909090909090908</v>
      </c>
      <c r="R459" s="19">
        <f t="shared" si="37"/>
        <v>3</v>
      </c>
      <c r="S459" s="6">
        <f t="shared" si="38"/>
        <v>3</v>
      </c>
      <c r="T459" s="5">
        <f t="shared" si="39"/>
        <v>3</v>
      </c>
    </row>
    <row r="460" spans="2:20" x14ac:dyDescent="0.25">
      <c r="B460" t="s">
        <v>829</v>
      </c>
      <c r="G460">
        <v>1</v>
      </c>
      <c r="M460">
        <v>1</v>
      </c>
      <c r="N460">
        <v>2</v>
      </c>
      <c r="O460" s="1">
        <v>2</v>
      </c>
      <c r="P460" s="11">
        <f t="shared" si="35"/>
        <v>0.18181818181818182</v>
      </c>
      <c r="Q460" s="11">
        <f t="shared" si="36"/>
        <v>6.0606060606060606E-3</v>
      </c>
      <c r="R460" s="19">
        <f t="shared" si="37"/>
        <v>1</v>
      </c>
      <c r="S460" s="6">
        <f t="shared" si="38"/>
        <v>1</v>
      </c>
      <c r="T460" s="5">
        <f t="shared" si="39"/>
        <v>1</v>
      </c>
    </row>
    <row r="461" spans="2:20" x14ac:dyDescent="0.25">
      <c r="B461" t="s">
        <v>565</v>
      </c>
      <c r="D461">
        <v>1</v>
      </c>
      <c r="G461">
        <v>1</v>
      </c>
      <c r="J461">
        <v>1</v>
      </c>
      <c r="K461">
        <v>2</v>
      </c>
      <c r="L461">
        <v>2</v>
      </c>
      <c r="M461">
        <v>1</v>
      </c>
      <c r="N461">
        <v>8</v>
      </c>
      <c r="O461" s="1">
        <v>8</v>
      </c>
      <c r="P461" s="11">
        <f t="shared" si="35"/>
        <v>0.72727272727272729</v>
      </c>
      <c r="Q461" s="11">
        <f t="shared" si="36"/>
        <v>2.4242424242424242E-2</v>
      </c>
      <c r="R461" s="19">
        <f t="shared" si="37"/>
        <v>1</v>
      </c>
      <c r="S461" s="6">
        <f t="shared" si="38"/>
        <v>1</v>
      </c>
      <c r="T461" s="5">
        <f t="shared" si="39"/>
        <v>1</v>
      </c>
    </row>
    <row r="462" spans="2:20" x14ac:dyDescent="0.25">
      <c r="B462" t="s">
        <v>1054</v>
      </c>
      <c r="L462">
        <v>1</v>
      </c>
      <c r="N462">
        <v>1</v>
      </c>
      <c r="O462" s="1">
        <v>1</v>
      </c>
      <c r="P462" s="11">
        <f t="shared" si="35"/>
        <v>9.0909090909090912E-2</v>
      </c>
      <c r="Q462" s="11">
        <f t="shared" si="36"/>
        <v>3.0303030303030303E-3</v>
      </c>
      <c r="R462" s="19">
        <f t="shared" si="37"/>
        <v>1</v>
      </c>
      <c r="S462" s="6">
        <f t="shared" si="38"/>
        <v>1</v>
      </c>
      <c r="T462" s="5">
        <f t="shared" si="39"/>
        <v>1</v>
      </c>
    </row>
    <row r="463" spans="2:20" x14ac:dyDescent="0.25">
      <c r="B463" t="s">
        <v>202</v>
      </c>
      <c r="C463">
        <v>19</v>
      </c>
      <c r="D463">
        <v>11</v>
      </c>
      <c r="E463">
        <v>3</v>
      </c>
      <c r="F463">
        <v>4</v>
      </c>
      <c r="H463">
        <v>6</v>
      </c>
      <c r="K463">
        <v>1</v>
      </c>
      <c r="L463">
        <v>2</v>
      </c>
      <c r="M463">
        <v>4</v>
      </c>
      <c r="N463">
        <v>50</v>
      </c>
      <c r="O463" s="1">
        <v>50</v>
      </c>
      <c r="P463" s="11">
        <f t="shared" si="35"/>
        <v>4.5454545454545459</v>
      </c>
      <c r="Q463" s="11">
        <f t="shared" si="36"/>
        <v>0.15151515151515152</v>
      </c>
      <c r="R463" s="19">
        <f t="shared" si="37"/>
        <v>3</v>
      </c>
      <c r="S463" s="6">
        <f t="shared" si="38"/>
        <v>3</v>
      </c>
      <c r="T463" s="5">
        <f t="shared" si="39"/>
        <v>3</v>
      </c>
    </row>
    <row r="464" spans="2:20" x14ac:dyDescent="0.25">
      <c r="B464" t="s">
        <v>203</v>
      </c>
      <c r="C464">
        <v>43</v>
      </c>
      <c r="D464">
        <v>13</v>
      </c>
      <c r="E464">
        <v>23</v>
      </c>
      <c r="F464">
        <v>3</v>
      </c>
      <c r="G464">
        <v>4</v>
      </c>
      <c r="H464">
        <v>11</v>
      </c>
      <c r="J464">
        <v>4</v>
      </c>
      <c r="K464">
        <v>5</v>
      </c>
      <c r="L464">
        <v>5</v>
      </c>
      <c r="M464">
        <v>8</v>
      </c>
      <c r="N464">
        <v>119</v>
      </c>
      <c r="O464" s="1">
        <v>119</v>
      </c>
      <c r="P464" s="11">
        <f t="shared" si="35"/>
        <v>10.818181818181818</v>
      </c>
      <c r="Q464" s="11">
        <f t="shared" si="36"/>
        <v>0.3606060606060606</v>
      </c>
      <c r="R464" s="19">
        <f t="shared" si="37"/>
        <v>7</v>
      </c>
      <c r="S464" s="6">
        <f t="shared" si="38"/>
        <v>5</v>
      </c>
      <c r="T464" s="5">
        <f t="shared" si="39"/>
        <v>3</v>
      </c>
    </row>
    <row r="465" spans="2:20" x14ac:dyDescent="0.25">
      <c r="B465" t="s">
        <v>204</v>
      </c>
      <c r="C465">
        <v>7</v>
      </c>
      <c r="D465">
        <v>8</v>
      </c>
      <c r="E465">
        <v>16</v>
      </c>
      <c r="F465">
        <v>3</v>
      </c>
      <c r="H465">
        <v>3</v>
      </c>
      <c r="K465">
        <v>8</v>
      </c>
      <c r="L465">
        <v>9</v>
      </c>
      <c r="M465">
        <v>5</v>
      </c>
      <c r="N465">
        <v>59</v>
      </c>
      <c r="O465" s="1">
        <v>59</v>
      </c>
      <c r="P465" s="11">
        <f t="shared" si="35"/>
        <v>5.3636363636363633</v>
      </c>
      <c r="Q465" s="11">
        <f t="shared" si="36"/>
        <v>0.17878787878787877</v>
      </c>
      <c r="R465" s="19">
        <f t="shared" si="37"/>
        <v>3</v>
      </c>
      <c r="S465" s="6">
        <f t="shared" si="38"/>
        <v>3</v>
      </c>
      <c r="T465" s="5">
        <f t="shared" si="39"/>
        <v>3</v>
      </c>
    </row>
    <row r="466" spans="2:20" x14ac:dyDescent="0.25">
      <c r="B466" t="s">
        <v>205</v>
      </c>
      <c r="C466">
        <v>21</v>
      </c>
      <c r="D466">
        <v>3</v>
      </c>
      <c r="E466">
        <v>21</v>
      </c>
      <c r="F466">
        <v>20</v>
      </c>
      <c r="G466">
        <v>9</v>
      </c>
      <c r="H466">
        <v>21</v>
      </c>
      <c r="I466">
        <v>7</v>
      </c>
      <c r="J466">
        <v>9</v>
      </c>
      <c r="K466">
        <v>21</v>
      </c>
      <c r="L466">
        <v>40</v>
      </c>
      <c r="M466">
        <v>17</v>
      </c>
      <c r="N466">
        <v>189</v>
      </c>
      <c r="O466" s="1">
        <v>189</v>
      </c>
      <c r="P466" s="11">
        <f t="shared" si="35"/>
        <v>17.181818181818183</v>
      </c>
      <c r="Q466" s="11">
        <f t="shared" si="36"/>
        <v>0.57272727272727275</v>
      </c>
      <c r="R466" s="19">
        <f t="shared" si="37"/>
        <v>9</v>
      </c>
      <c r="S466" s="6">
        <f t="shared" si="38"/>
        <v>7</v>
      </c>
      <c r="T466" s="5">
        <f t="shared" si="39"/>
        <v>5</v>
      </c>
    </row>
    <row r="467" spans="2:20" x14ac:dyDescent="0.25">
      <c r="B467" t="s">
        <v>931</v>
      </c>
      <c r="I467">
        <v>1</v>
      </c>
      <c r="L467">
        <v>5</v>
      </c>
      <c r="M467">
        <v>18</v>
      </c>
      <c r="N467">
        <v>24</v>
      </c>
      <c r="O467" s="1">
        <v>24</v>
      </c>
      <c r="P467" s="11">
        <f t="shared" si="35"/>
        <v>2.1818181818181817</v>
      </c>
      <c r="Q467" s="11">
        <f t="shared" si="36"/>
        <v>7.2727272727272724E-2</v>
      </c>
      <c r="R467" s="19">
        <f t="shared" si="37"/>
        <v>3</v>
      </c>
      <c r="S467" s="6">
        <f t="shared" si="38"/>
        <v>1</v>
      </c>
      <c r="T467" s="5">
        <f t="shared" si="39"/>
        <v>1</v>
      </c>
    </row>
    <row r="468" spans="2:20" x14ac:dyDescent="0.25">
      <c r="B468" t="s">
        <v>1090</v>
      </c>
      <c r="M468">
        <v>0</v>
      </c>
      <c r="N468">
        <v>0</v>
      </c>
      <c r="O468" s="1">
        <v>0</v>
      </c>
      <c r="P468" s="11">
        <f t="shared" si="35"/>
        <v>0</v>
      </c>
      <c r="Q468" s="11">
        <f t="shared" si="36"/>
        <v>0</v>
      </c>
      <c r="R468" s="19">
        <f t="shared" si="37"/>
        <v>1</v>
      </c>
      <c r="S468" s="6">
        <f t="shared" si="38"/>
        <v>1</v>
      </c>
      <c r="T468" s="5">
        <f t="shared" si="39"/>
        <v>1</v>
      </c>
    </row>
    <row r="469" spans="2:20" x14ac:dyDescent="0.25">
      <c r="B469" t="s">
        <v>770</v>
      </c>
      <c r="F469">
        <v>1</v>
      </c>
      <c r="G469">
        <v>2</v>
      </c>
      <c r="H469">
        <v>3</v>
      </c>
      <c r="I469">
        <v>1</v>
      </c>
      <c r="J469">
        <v>2</v>
      </c>
      <c r="N469">
        <v>9</v>
      </c>
      <c r="O469" s="1">
        <v>9</v>
      </c>
      <c r="P469" s="11">
        <f t="shared" si="35"/>
        <v>0.81818181818181823</v>
      </c>
      <c r="Q469" s="11">
        <f t="shared" si="36"/>
        <v>2.7272727272727275E-2</v>
      </c>
      <c r="R469" s="19">
        <f t="shared" si="37"/>
        <v>1</v>
      </c>
      <c r="S469" s="6">
        <f t="shared" si="38"/>
        <v>1</v>
      </c>
      <c r="T469" s="5">
        <f t="shared" si="39"/>
        <v>1</v>
      </c>
    </row>
    <row r="470" spans="2:20" x14ac:dyDescent="0.25">
      <c r="B470" t="s">
        <v>566</v>
      </c>
      <c r="D470">
        <v>3</v>
      </c>
      <c r="N470">
        <v>3</v>
      </c>
      <c r="O470" s="1">
        <v>3</v>
      </c>
      <c r="P470" s="11">
        <f t="shared" si="35"/>
        <v>0.27272727272727271</v>
      </c>
      <c r="Q470" s="11">
        <f t="shared" si="36"/>
        <v>9.0909090909090905E-3</v>
      </c>
      <c r="R470" s="19">
        <f t="shared" si="37"/>
        <v>1</v>
      </c>
      <c r="S470" s="6">
        <f t="shared" si="38"/>
        <v>1</v>
      </c>
      <c r="T470" s="5">
        <f t="shared" si="39"/>
        <v>1</v>
      </c>
    </row>
    <row r="471" spans="2:20" x14ac:dyDescent="0.25">
      <c r="B471" t="s">
        <v>1055</v>
      </c>
      <c r="L471">
        <v>1</v>
      </c>
      <c r="M471">
        <v>2</v>
      </c>
      <c r="N471">
        <v>3</v>
      </c>
      <c r="O471" s="1">
        <v>3</v>
      </c>
      <c r="P471" s="11">
        <f t="shared" si="35"/>
        <v>0.27272727272727271</v>
      </c>
      <c r="Q471" s="11">
        <f t="shared" si="36"/>
        <v>9.0909090909090905E-3</v>
      </c>
      <c r="R471" s="19">
        <f t="shared" si="37"/>
        <v>1</v>
      </c>
      <c r="S471" s="6">
        <f t="shared" si="38"/>
        <v>1</v>
      </c>
      <c r="T471" s="5">
        <f t="shared" si="39"/>
        <v>1</v>
      </c>
    </row>
    <row r="472" spans="2:20" x14ac:dyDescent="0.25">
      <c r="B472" t="s">
        <v>206</v>
      </c>
      <c r="C472">
        <v>23</v>
      </c>
      <c r="D472">
        <v>8</v>
      </c>
      <c r="E472">
        <v>9</v>
      </c>
      <c r="F472">
        <v>17</v>
      </c>
      <c r="G472">
        <v>4</v>
      </c>
      <c r="H472">
        <v>2</v>
      </c>
      <c r="I472">
        <v>8</v>
      </c>
      <c r="J472">
        <v>4</v>
      </c>
      <c r="K472">
        <v>1</v>
      </c>
      <c r="L472">
        <v>9</v>
      </c>
      <c r="M472">
        <v>6</v>
      </c>
      <c r="N472">
        <v>91</v>
      </c>
      <c r="O472" s="1">
        <v>91</v>
      </c>
      <c r="P472" s="11">
        <f t="shared" si="35"/>
        <v>8.2727272727272734</v>
      </c>
      <c r="Q472" s="11">
        <f t="shared" si="36"/>
        <v>0.27575757575757576</v>
      </c>
      <c r="R472" s="19">
        <f t="shared" si="37"/>
        <v>5</v>
      </c>
      <c r="S472" s="6">
        <f t="shared" si="38"/>
        <v>3</v>
      </c>
      <c r="T472" s="5">
        <f t="shared" si="39"/>
        <v>3</v>
      </c>
    </row>
    <row r="473" spans="2:20" x14ac:dyDescent="0.25">
      <c r="B473" t="s">
        <v>207</v>
      </c>
      <c r="C473">
        <v>8</v>
      </c>
      <c r="D473">
        <v>6</v>
      </c>
      <c r="E473">
        <v>9</v>
      </c>
      <c r="F473">
        <v>15</v>
      </c>
      <c r="G473">
        <v>9</v>
      </c>
      <c r="H473">
        <v>10</v>
      </c>
      <c r="I473">
        <v>13</v>
      </c>
      <c r="J473">
        <v>9</v>
      </c>
      <c r="L473">
        <v>11</v>
      </c>
      <c r="M473">
        <v>2</v>
      </c>
      <c r="N473">
        <v>92</v>
      </c>
      <c r="O473" s="1">
        <v>92</v>
      </c>
      <c r="P473" s="11">
        <f t="shared" si="35"/>
        <v>8.3636363636363633</v>
      </c>
      <c r="Q473" s="11">
        <f t="shared" si="36"/>
        <v>0.27878787878787875</v>
      </c>
      <c r="R473" s="19">
        <f t="shared" si="37"/>
        <v>5</v>
      </c>
      <c r="S473" s="6">
        <f t="shared" si="38"/>
        <v>3</v>
      </c>
      <c r="T473" s="5">
        <f t="shared" si="39"/>
        <v>3</v>
      </c>
    </row>
    <row r="474" spans="2:20" x14ac:dyDescent="0.25">
      <c r="B474" t="s">
        <v>771</v>
      </c>
      <c r="F474">
        <v>1</v>
      </c>
      <c r="N474">
        <v>1</v>
      </c>
      <c r="O474" s="1">
        <v>1</v>
      </c>
      <c r="P474" s="11">
        <f t="shared" si="35"/>
        <v>9.0909090909090912E-2</v>
      </c>
      <c r="Q474" s="11">
        <f t="shared" si="36"/>
        <v>3.0303030303030303E-3</v>
      </c>
      <c r="R474" s="19">
        <f t="shared" si="37"/>
        <v>1</v>
      </c>
      <c r="S474" s="6">
        <f t="shared" si="38"/>
        <v>1</v>
      </c>
      <c r="T474" s="5">
        <f t="shared" si="39"/>
        <v>1</v>
      </c>
    </row>
    <row r="475" spans="2:20" x14ac:dyDescent="0.25">
      <c r="B475" t="s">
        <v>1006</v>
      </c>
      <c r="K475">
        <v>1</v>
      </c>
      <c r="N475">
        <v>1</v>
      </c>
      <c r="O475" s="1">
        <v>1</v>
      </c>
      <c r="P475" s="11">
        <f t="shared" si="35"/>
        <v>9.0909090909090912E-2</v>
      </c>
      <c r="Q475" s="11">
        <f t="shared" si="36"/>
        <v>3.0303030303030303E-3</v>
      </c>
      <c r="R475" s="19">
        <f t="shared" si="37"/>
        <v>1</v>
      </c>
      <c r="S475" s="6">
        <f t="shared" si="38"/>
        <v>1</v>
      </c>
      <c r="T475" s="5">
        <f t="shared" si="39"/>
        <v>1</v>
      </c>
    </row>
    <row r="476" spans="2:20" x14ac:dyDescent="0.25">
      <c r="B476" t="s">
        <v>208</v>
      </c>
      <c r="C476">
        <v>2</v>
      </c>
      <c r="D476">
        <v>0</v>
      </c>
      <c r="E476">
        <v>1</v>
      </c>
      <c r="G476">
        <v>2</v>
      </c>
      <c r="K476">
        <v>1</v>
      </c>
      <c r="L476">
        <v>2</v>
      </c>
      <c r="N476">
        <v>8</v>
      </c>
      <c r="O476" s="1">
        <v>8</v>
      </c>
      <c r="P476" s="11">
        <f t="shared" si="35"/>
        <v>0.72727272727272729</v>
      </c>
      <c r="Q476" s="11">
        <f t="shared" si="36"/>
        <v>2.4242424242424242E-2</v>
      </c>
      <c r="R476" s="19">
        <f t="shared" si="37"/>
        <v>1</v>
      </c>
      <c r="S476" s="6">
        <f t="shared" si="38"/>
        <v>1</v>
      </c>
      <c r="T476" s="5">
        <f t="shared" si="39"/>
        <v>1</v>
      </c>
    </row>
    <row r="477" spans="2:20" x14ac:dyDescent="0.25">
      <c r="B477" t="s">
        <v>209</v>
      </c>
      <c r="C477">
        <v>9</v>
      </c>
      <c r="D477">
        <v>36</v>
      </c>
      <c r="E477">
        <v>16</v>
      </c>
      <c r="F477">
        <v>1</v>
      </c>
      <c r="G477">
        <v>11</v>
      </c>
      <c r="H477">
        <v>13</v>
      </c>
      <c r="I477">
        <v>3</v>
      </c>
      <c r="K477">
        <v>3</v>
      </c>
      <c r="L477">
        <v>1</v>
      </c>
      <c r="M477">
        <v>3</v>
      </c>
      <c r="N477">
        <v>96</v>
      </c>
      <c r="O477" s="1">
        <v>96</v>
      </c>
      <c r="P477" s="11">
        <f t="shared" si="35"/>
        <v>8.7272727272727266</v>
      </c>
      <c r="Q477" s="11">
        <f t="shared" si="36"/>
        <v>0.29090909090909089</v>
      </c>
      <c r="R477" s="19">
        <f t="shared" si="37"/>
        <v>5</v>
      </c>
      <c r="S477" s="6">
        <f t="shared" si="38"/>
        <v>5</v>
      </c>
      <c r="T477" s="5">
        <f t="shared" si="39"/>
        <v>3</v>
      </c>
    </row>
    <row r="478" spans="2:20" x14ac:dyDescent="0.25">
      <c r="B478" t="s">
        <v>567</v>
      </c>
      <c r="D478">
        <v>2</v>
      </c>
      <c r="E478">
        <v>2</v>
      </c>
      <c r="N478">
        <v>4</v>
      </c>
      <c r="O478" s="1">
        <v>4</v>
      </c>
      <c r="P478" s="11">
        <f t="shared" si="35"/>
        <v>0.36363636363636365</v>
      </c>
      <c r="Q478" s="11">
        <f t="shared" si="36"/>
        <v>1.2121212121212121E-2</v>
      </c>
      <c r="R478" s="19">
        <f t="shared" si="37"/>
        <v>1</v>
      </c>
      <c r="S478" s="6">
        <f t="shared" si="38"/>
        <v>1</v>
      </c>
      <c r="T478" s="5">
        <f t="shared" si="39"/>
        <v>1</v>
      </c>
    </row>
    <row r="479" spans="2:20" x14ac:dyDescent="0.25">
      <c r="B479" t="s">
        <v>210</v>
      </c>
      <c r="C479">
        <v>5</v>
      </c>
      <c r="D479">
        <v>10</v>
      </c>
      <c r="E479">
        <v>21</v>
      </c>
      <c r="F479">
        <v>2</v>
      </c>
      <c r="G479">
        <v>5</v>
      </c>
      <c r="H479">
        <v>18</v>
      </c>
      <c r="I479">
        <v>7</v>
      </c>
      <c r="J479">
        <v>1</v>
      </c>
      <c r="K479">
        <v>9</v>
      </c>
      <c r="L479">
        <v>19</v>
      </c>
      <c r="M479">
        <v>22</v>
      </c>
      <c r="N479">
        <v>119</v>
      </c>
      <c r="O479" s="1">
        <v>119</v>
      </c>
      <c r="P479" s="11">
        <f t="shared" si="35"/>
        <v>10.818181818181818</v>
      </c>
      <c r="Q479" s="11">
        <f t="shared" si="36"/>
        <v>0.3606060606060606</v>
      </c>
      <c r="R479" s="19">
        <f t="shared" si="37"/>
        <v>7</v>
      </c>
      <c r="S479" s="6">
        <f t="shared" si="38"/>
        <v>5</v>
      </c>
      <c r="T479" s="5">
        <f t="shared" si="39"/>
        <v>3</v>
      </c>
    </row>
    <row r="480" spans="2:20" x14ac:dyDescent="0.25">
      <c r="B480" t="s">
        <v>932</v>
      </c>
      <c r="I480">
        <v>2</v>
      </c>
      <c r="N480">
        <v>2</v>
      </c>
      <c r="O480" s="1">
        <v>2</v>
      </c>
      <c r="P480" s="11">
        <f t="shared" si="35"/>
        <v>0.18181818181818182</v>
      </c>
      <c r="Q480" s="11">
        <f t="shared" si="36"/>
        <v>6.0606060606060606E-3</v>
      </c>
      <c r="R480" s="19">
        <f t="shared" si="37"/>
        <v>1</v>
      </c>
      <c r="S480" s="6">
        <f t="shared" si="38"/>
        <v>1</v>
      </c>
      <c r="T480" s="5">
        <f t="shared" si="39"/>
        <v>1</v>
      </c>
    </row>
    <row r="481" spans="2:20" x14ac:dyDescent="0.25">
      <c r="B481" t="s">
        <v>211</v>
      </c>
      <c r="C481">
        <v>208</v>
      </c>
      <c r="D481">
        <v>64</v>
      </c>
      <c r="E481">
        <v>55</v>
      </c>
      <c r="F481">
        <v>49</v>
      </c>
      <c r="G481">
        <v>88</v>
      </c>
      <c r="H481">
        <v>102</v>
      </c>
      <c r="I481">
        <v>45</v>
      </c>
      <c r="J481">
        <v>45</v>
      </c>
      <c r="K481">
        <v>61</v>
      </c>
      <c r="L481">
        <v>80</v>
      </c>
      <c r="M481">
        <v>62</v>
      </c>
      <c r="N481">
        <v>859</v>
      </c>
      <c r="O481" s="1">
        <v>859</v>
      </c>
      <c r="P481" s="11">
        <f t="shared" si="35"/>
        <v>78.090909090909093</v>
      </c>
      <c r="Q481" s="11">
        <f t="shared" si="36"/>
        <v>2.603030303030303</v>
      </c>
      <c r="R481" s="19">
        <f t="shared" si="37"/>
        <v>37</v>
      </c>
      <c r="S481" s="6">
        <f t="shared" si="38"/>
        <v>29</v>
      </c>
      <c r="T481" s="5">
        <f t="shared" si="39"/>
        <v>19</v>
      </c>
    </row>
    <row r="482" spans="2:20" x14ac:dyDescent="0.25">
      <c r="B482" t="s">
        <v>568</v>
      </c>
      <c r="D482">
        <v>1</v>
      </c>
      <c r="G482">
        <v>2</v>
      </c>
      <c r="J482">
        <v>1</v>
      </c>
      <c r="K482">
        <v>1</v>
      </c>
      <c r="M482">
        <v>1</v>
      </c>
      <c r="N482">
        <v>6</v>
      </c>
      <c r="O482" s="1">
        <v>6</v>
      </c>
      <c r="P482" s="11">
        <f t="shared" si="35"/>
        <v>0.54545454545454541</v>
      </c>
      <c r="Q482" s="11">
        <f t="shared" si="36"/>
        <v>1.8181818181818181E-2</v>
      </c>
      <c r="R482" s="19">
        <f t="shared" si="37"/>
        <v>1</v>
      </c>
      <c r="S482" s="6">
        <f t="shared" si="38"/>
        <v>1</v>
      </c>
      <c r="T482" s="5">
        <f t="shared" si="39"/>
        <v>1</v>
      </c>
    </row>
    <row r="483" spans="2:20" x14ac:dyDescent="0.25">
      <c r="B483" t="s">
        <v>569</v>
      </c>
      <c r="D483">
        <v>45</v>
      </c>
      <c r="E483">
        <v>6</v>
      </c>
      <c r="G483">
        <v>7</v>
      </c>
      <c r="H483">
        <v>12</v>
      </c>
      <c r="K483">
        <v>0</v>
      </c>
      <c r="M483">
        <v>21</v>
      </c>
      <c r="N483">
        <v>91</v>
      </c>
      <c r="O483" s="1">
        <v>91</v>
      </c>
      <c r="P483" s="11">
        <f t="shared" si="35"/>
        <v>8.2727272727272734</v>
      </c>
      <c r="Q483" s="11">
        <f t="shared" si="36"/>
        <v>0.27575757575757576</v>
      </c>
      <c r="R483" s="19">
        <f t="shared" si="37"/>
        <v>5</v>
      </c>
      <c r="S483" s="6">
        <f t="shared" si="38"/>
        <v>3</v>
      </c>
      <c r="T483" s="5">
        <f t="shared" si="39"/>
        <v>3</v>
      </c>
    </row>
    <row r="484" spans="2:20" x14ac:dyDescent="0.25">
      <c r="B484" t="s">
        <v>970</v>
      </c>
      <c r="J484">
        <v>1</v>
      </c>
      <c r="N484">
        <v>1</v>
      </c>
      <c r="O484" s="1">
        <v>1</v>
      </c>
      <c r="P484" s="11">
        <f t="shared" si="35"/>
        <v>9.0909090909090912E-2</v>
      </c>
      <c r="Q484" s="11">
        <f t="shared" si="36"/>
        <v>3.0303030303030303E-3</v>
      </c>
      <c r="R484" s="19">
        <f t="shared" si="37"/>
        <v>1</v>
      </c>
      <c r="S484" s="6">
        <f t="shared" si="38"/>
        <v>1</v>
      </c>
      <c r="T484" s="5">
        <f t="shared" si="39"/>
        <v>1</v>
      </c>
    </row>
    <row r="485" spans="2:20" x14ac:dyDescent="0.25">
      <c r="B485" t="s">
        <v>212</v>
      </c>
      <c r="C485">
        <v>3</v>
      </c>
      <c r="D485">
        <v>1</v>
      </c>
      <c r="E485">
        <v>2</v>
      </c>
      <c r="F485">
        <v>1</v>
      </c>
      <c r="G485">
        <v>1</v>
      </c>
      <c r="J485">
        <v>3</v>
      </c>
      <c r="L485">
        <v>5</v>
      </c>
      <c r="M485">
        <v>5</v>
      </c>
      <c r="N485">
        <v>21</v>
      </c>
      <c r="O485" s="1">
        <v>21</v>
      </c>
      <c r="P485" s="11">
        <f t="shared" si="35"/>
        <v>1.9090909090909092</v>
      </c>
      <c r="Q485" s="11">
        <f t="shared" si="36"/>
        <v>6.3636363636363644E-2</v>
      </c>
      <c r="R485" s="19">
        <f t="shared" si="37"/>
        <v>1</v>
      </c>
      <c r="S485" s="6">
        <f t="shared" si="38"/>
        <v>1</v>
      </c>
      <c r="T485" s="5">
        <f t="shared" si="39"/>
        <v>1</v>
      </c>
    </row>
    <row r="486" spans="2:20" x14ac:dyDescent="0.25">
      <c r="B486" t="s">
        <v>213</v>
      </c>
      <c r="C486">
        <v>1</v>
      </c>
      <c r="E486">
        <v>1</v>
      </c>
      <c r="F486">
        <v>1</v>
      </c>
      <c r="G486">
        <v>2</v>
      </c>
      <c r="H486">
        <v>2</v>
      </c>
      <c r="J486">
        <v>1</v>
      </c>
      <c r="K486">
        <v>2</v>
      </c>
      <c r="L486">
        <v>1</v>
      </c>
      <c r="M486">
        <v>1</v>
      </c>
      <c r="N486">
        <v>12</v>
      </c>
      <c r="O486" s="1">
        <v>12</v>
      </c>
      <c r="P486" s="11">
        <f t="shared" si="35"/>
        <v>1.0909090909090908</v>
      </c>
      <c r="Q486" s="11">
        <f t="shared" si="36"/>
        <v>3.6363636363636362E-2</v>
      </c>
      <c r="R486" s="19">
        <f t="shared" si="37"/>
        <v>1</v>
      </c>
      <c r="S486" s="6">
        <f t="shared" si="38"/>
        <v>1</v>
      </c>
      <c r="T486" s="5">
        <f t="shared" si="39"/>
        <v>1</v>
      </c>
    </row>
    <row r="487" spans="2:20" x14ac:dyDescent="0.25">
      <c r="B487" t="s">
        <v>570</v>
      </c>
      <c r="D487">
        <v>1</v>
      </c>
      <c r="E487">
        <v>2</v>
      </c>
      <c r="J487">
        <v>4</v>
      </c>
      <c r="L487">
        <v>2</v>
      </c>
      <c r="M487">
        <v>3</v>
      </c>
      <c r="N487">
        <v>12</v>
      </c>
      <c r="O487" s="1">
        <v>12</v>
      </c>
      <c r="P487" s="11">
        <f t="shared" si="35"/>
        <v>1.0909090909090908</v>
      </c>
      <c r="Q487" s="11">
        <f t="shared" si="36"/>
        <v>3.6363636363636362E-2</v>
      </c>
      <c r="R487" s="19">
        <f t="shared" si="37"/>
        <v>1</v>
      </c>
      <c r="S487" s="6">
        <f t="shared" si="38"/>
        <v>1</v>
      </c>
      <c r="T487" s="5">
        <f t="shared" si="39"/>
        <v>1</v>
      </c>
    </row>
    <row r="488" spans="2:20" x14ac:dyDescent="0.25">
      <c r="B488" t="s">
        <v>214</v>
      </c>
      <c r="C488">
        <v>1</v>
      </c>
      <c r="D488">
        <v>1</v>
      </c>
      <c r="F488">
        <v>1</v>
      </c>
      <c r="G488">
        <v>2</v>
      </c>
      <c r="H488">
        <v>2</v>
      </c>
      <c r="I488">
        <v>1</v>
      </c>
      <c r="K488">
        <v>1</v>
      </c>
      <c r="L488">
        <v>1</v>
      </c>
      <c r="M488">
        <v>2</v>
      </c>
      <c r="N488">
        <v>12</v>
      </c>
      <c r="O488" s="1">
        <v>12</v>
      </c>
      <c r="P488" s="11">
        <f t="shared" si="35"/>
        <v>1.0909090909090908</v>
      </c>
      <c r="Q488" s="11">
        <f t="shared" si="36"/>
        <v>3.6363636363636362E-2</v>
      </c>
      <c r="R488" s="19">
        <f t="shared" si="37"/>
        <v>1</v>
      </c>
      <c r="S488" s="6">
        <f t="shared" si="38"/>
        <v>1</v>
      </c>
      <c r="T488" s="5">
        <f t="shared" si="39"/>
        <v>1</v>
      </c>
    </row>
    <row r="489" spans="2:20" x14ac:dyDescent="0.25">
      <c r="B489" t="s">
        <v>215</v>
      </c>
      <c r="C489">
        <v>4</v>
      </c>
      <c r="D489">
        <v>1</v>
      </c>
      <c r="F489">
        <v>1</v>
      </c>
      <c r="H489">
        <v>5</v>
      </c>
      <c r="K489">
        <v>1</v>
      </c>
      <c r="L489">
        <v>4</v>
      </c>
      <c r="N489">
        <v>16</v>
      </c>
      <c r="O489" s="1">
        <v>16</v>
      </c>
      <c r="P489" s="11">
        <f t="shared" si="35"/>
        <v>1.4545454545454546</v>
      </c>
      <c r="Q489" s="11">
        <f t="shared" si="36"/>
        <v>4.8484848484848485E-2</v>
      </c>
      <c r="R489" s="19">
        <f t="shared" si="37"/>
        <v>1</v>
      </c>
      <c r="S489" s="6">
        <f t="shared" si="38"/>
        <v>1</v>
      </c>
      <c r="T489" s="5">
        <f t="shared" si="39"/>
        <v>1</v>
      </c>
    </row>
    <row r="490" spans="2:20" x14ac:dyDescent="0.25">
      <c r="B490" t="s">
        <v>1007</v>
      </c>
      <c r="K490">
        <v>1</v>
      </c>
      <c r="N490">
        <v>1</v>
      </c>
      <c r="O490" s="1">
        <v>1</v>
      </c>
      <c r="P490" s="11">
        <f t="shared" si="35"/>
        <v>9.0909090909090912E-2</v>
      </c>
      <c r="Q490" s="11">
        <f t="shared" si="36"/>
        <v>3.0303030303030303E-3</v>
      </c>
      <c r="R490" s="19">
        <f t="shared" si="37"/>
        <v>1</v>
      </c>
      <c r="S490" s="6">
        <f t="shared" si="38"/>
        <v>1</v>
      </c>
      <c r="T490" s="5">
        <f t="shared" si="39"/>
        <v>1</v>
      </c>
    </row>
    <row r="491" spans="2:20" x14ac:dyDescent="0.25">
      <c r="B491" t="s">
        <v>216</v>
      </c>
      <c r="C491">
        <v>47</v>
      </c>
      <c r="D491">
        <v>10</v>
      </c>
      <c r="E491">
        <v>8</v>
      </c>
      <c r="F491">
        <v>9</v>
      </c>
      <c r="G491">
        <v>20</v>
      </c>
      <c r="H491">
        <v>34</v>
      </c>
      <c r="I491">
        <v>6</v>
      </c>
      <c r="J491">
        <v>11</v>
      </c>
      <c r="K491">
        <v>5</v>
      </c>
      <c r="L491">
        <v>33</v>
      </c>
      <c r="M491">
        <v>26</v>
      </c>
      <c r="N491">
        <v>209</v>
      </c>
      <c r="O491" s="1">
        <v>209</v>
      </c>
      <c r="P491" s="11">
        <f t="shared" si="35"/>
        <v>19</v>
      </c>
      <c r="Q491" s="11">
        <f t="shared" si="36"/>
        <v>0.6333333333333333</v>
      </c>
      <c r="R491" s="19">
        <f t="shared" si="37"/>
        <v>9</v>
      </c>
      <c r="S491" s="6">
        <f t="shared" si="38"/>
        <v>7</v>
      </c>
      <c r="T491" s="5">
        <f t="shared" si="39"/>
        <v>5</v>
      </c>
    </row>
    <row r="492" spans="2:20" x14ac:dyDescent="0.25">
      <c r="B492" t="s">
        <v>571</v>
      </c>
      <c r="D492">
        <v>1</v>
      </c>
      <c r="N492">
        <v>1</v>
      </c>
      <c r="O492" s="1">
        <v>1</v>
      </c>
      <c r="P492" s="11">
        <f t="shared" si="35"/>
        <v>9.0909090909090912E-2</v>
      </c>
      <c r="Q492" s="11">
        <f t="shared" si="36"/>
        <v>3.0303030303030303E-3</v>
      </c>
      <c r="R492" s="19">
        <f t="shared" si="37"/>
        <v>1</v>
      </c>
      <c r="S492" s="6">
        <f t="shared" si="38"/>
        <v>1</v>
      </c>
      <c r="T492" s="5">
        <f t="shared" si="39"/>
        <v>1</v>
      </c>
    </row>
    <row r="493" spans="2:20" x14ac:dyDescent="0.25">
      <c r="B493" t="s">
        <v>1091</v>
      </c>
      <c r="M493">
        <v>1</v>
      </c>
      <c r="N493">
        <v>1</v>
      </c>
      <c r="O493" s="1">
        <v>1</v>
      </c>
      <c r="P493" s="11">
        <f t="shared" si="35"/>
        <v>9.0909090909090912E-2</v>
      </c>
      <c r="Q493" s="11">
        <f t="shared" si="36"/>
        <v>3.0303030303030303E-3</v>
      </c>
      <c r="R493" s="19">
        <f t="shared" si="37"/>
        <v>1</v>
      </c>
      <c r="S493" s="6">
        <f t="shared" si="38"/>
        <v>1</v>
      </c>
      <c r="T493" s="5">
        <f t="shared" si="39"/>
        <v>1</v>
      </c>
    </row>
    <row r="494" spans="2:20" x14ac:dyDescent="0.25">
      <c r="B494" t="s">
        <v>217</v>
      </c>
      <c r="C494">
        <v>4</v>
      </c>
      <c r="D494">
        <v>5</v>
      </c>
      <c r="E494">
        <v>1</v>
      </c>
      <c r="G494">
        <v>1</v>
      </c>
      <c r="H494">
        <v>6</v>
      </c>
      <c r="I494">
        <v>1</v>
      </c>
      <c r="J494">
        <v>1</v>
      </c>
      <c r="K494">
        <v>1</v>
      </c>
      <c r="M494">
        <v>4</v>
      </c>
      <c r="N494">
        <v>24</v>
      </c>
      <c r="O494" s="1">
        <v>24</v>
      </c>
      <c r="P494" s="11">
        <f t="shared" si="35"/>
        <v>2.1818181818181817</v>
      </c>
      <c r="Q494" s="11">
        <f t="shared" si="36"/>
        <v>7.2727272727272724E-2</v>
      </c>
      <c r="R494" s="19">
        <f t="shared" si="37"/>
        <v>3</v>
      </c>
      <c r="S494" s="6">
        <f t="shared" si="38"/>
        <v>1</v>
      </c>
      <c r="T494" s="5">
        <f t="shared" si="39"/>
        <v>1</v>
      </c>
    </row>
    <row r="495" spans="2:20" x14ac:dyDescent="0.25">
      <c r="B495" t="s">
        <v>218</v>
      </c>
      <c r="C495">
        <v>21</v>
      </c>
      <c r="D495">
        <v>11</v>
      </c>
      <c r="E495">
        <v>11</v>
      </c>
      <c r="F495">
        <v>10</v>
      </c>
      <c r="G495">
        <v>8</v>
      </c>
      <c r="H495">
        <v>15</v>
      </c>
      <c r="I495">
        <v>6</v>
      </c>
      <c r="J495">
        <v>2</v>
      </c>
      <c r="K495">
        <v>10</v>
      </c>
      <c r="L495">
        <v>10</v>
      </c>
      <c r="M495">
        <v>8</v>
      </c>
      <c r="N495">
        <v>112</v>
      </c>
      <c r="O495" s="1">
        <v>112</v>
      </c>
      <c r="P495" s="11">
        <f t="shared" si="35"/>
        <v>10.181818181818182</v>
      </c>
      <c r="Q495" s="11">
        <f t="shared" si="36"/>
        <v>0.33939393939393941</v>
      </c>
      <c r="R495" s="19">
        <f t="shared" si="37"/>
        <v>5</v>
      </c>
      <c r="S495" s="6">
        <f t="shared" si="38"/>
        <v>5</v>
      </c>
      <c r="T495" s="5">
        <f t="shared" si="39"/>
        <v>3</v>
      </c>
    </row>
    <row r="496" spans="2:20" x14ac:dyDescent="0.25">
      <c r="B496" t="s">
        <v>682</v>
      </c>
      <c r="E496">
        <v>2</v>
      </c>
      <c r="I496">
        <v>1</v>
      </c>
      <c r="K496">
        <v>1</v>
      </c>
      <c r="L496">
        <v>1</v>
      </c>
      <c r="N496">
        <v>5</v>
      </c>
      <c r="O496" s="1">
        <v>5</v>
      </c>
      <c r="P496" s="11">
        <f t="shared" si="35"/>
        <v>0.45454545454545453</v>
      </c>
      <c r="Q496" s="11">
        <f t="shared" si="36"/>
        <v>1.515151515151515E-2</v>
      </c>
      <c r="R496" s="19">
        <f t="shared" si="37"/>
        <v>1</v>
      </c>
      <c r="S496" s="6">
        <f t="shared" si="38"/>
        <v>1</v>
      </c>
      <c r="T496" s="5">
        <f t="shared" si="39"/>
        <v>1</v>
      </c>
    </row>
    <row r="497" spans="2:20" x14ac:dyDescent="0.25">
      <c r="B497" t="s">
        <v>219</v>
      </c>
      <c r="C497">
        <v>1</v>
      </c>
      <c r="G497">
        <v>1</v>
      </c>
      <c r="H497">
        <v>1</v>
      </c>
      <c r="J497">
        <v>1</v>
      </c>
      <c r="N497">
        <v>4</v>
      </c>
      <c r="O497" s="1">
        <v>4</v>
      </c>
      <c r="P497" s="11">
        <f t="shared" si="35"/>
        <v>0.36363636363636365</v>
      </c>
      <c r="Q497" s="11">
        <f t="shared" si="36"/>
        <v>1.2121212121212121E-2</v>
      </c>
      <c r="R497" s="19">
        <f t="shared" si="37"/>
        <v>1</v>
      </c>
      <c r="S497" s="6">
        <f t="shared" si="38"/>
        <v>1</v>
      </c>
      <c r="T497" s="5">
        <f t="shared" si="39"/>
        <v>1</v>
      </c>
    </row>
    <row r="498" spans="2:20" x14ac:dyDescent="0.25">
      <c r="B498" t="s">
        <v>572</v>
      </c>
      <c r="D498">
        <v>1</v>
      </c>
      <c r="E498">
        <v>1</v>
      </c>
      <c r="J498">
        <v>1</v>
      </c>
      <c r="L498">
        <v>1</v>
      </c>
      <c r="N498">
        <v>4</v>
      </c>
      <c r="O498" s="1">
        <v>4</v>
      </c>
      <c r="P498" s="11">
        <f t="shared" si="35"/>
        <v>0.36363636363636365</v>
      </c>
      <c r="Q498" s="11">
        <f t="shared" si="36"/>
        <v>1.2121212121212121E-2</v>
      </c>
      <c r="R498" s="19">
        <f t="shared" si="37"/>
        <v>1</v>
      </c>
      <c r="S498" s="6">
        <f t="shared" si="38"/>
        <v>1</v>
      </c>
      <c r="T498" s="5">
        <f t="shared" si="39"/>
        <v>1</v>
      </c>
    </row>
    <row r="499" spans="2:20" x14ac:dyDescent="0.25">
      <c r="B499" t="s">
        <v>573</v>
      </c>
      <c r="D499">
        <v>3</v>
      </c>
      <c r="E499">
        <v>4</v>
      </c>
      <c r="F499">
        <v>4</v>
      </c>
      <c r="G499">
        <v>3</v>
      </c>
      <c r="H499">
        <v>6</v>
      </c>
      <c r="I499">
        <v>11</v>
      </c>
      <c r="J499">
        <v>10</v>
      </c>
      <c r="K499">
        <v>22</v>
      </c>
      <c r="L499">
        <v>27</v>
      </c>
      <c r="M499">
        <v>11</v>
      </c>
      <c r="N499">
        <v>101</v>
      </c>
      <c r="O499" s="1">
        <v>101</v>
      </c>
      <c r="P499" s="11">
        <f t="shared" si="35"/>
        <v>9.1818181818181817</v>
      </c>
      <c r="Q499" s="11">
        <f t="shared" si="36"/>
        <v>0.30606060606060603</v>
      </c>
      <c r="R499" s="19">
        <f t="shared" si="37"/>
        <v>5</v>
      </c>
      <c r="S499" s="6">
        <f t="shared" si="38"/>
        <v>5</v>
      </c>
      <c r="T499" s="5">
        <f t="shared" si="39"/>
        <v>3</v>
      </c>
    </row>
    <row r="500" spans="2:20" x14ac:dyDescent="0.25">
      <c r="B500" t="s">
        <v>1092</v>
      </c>
      <c r="M500">
        <v>3</v>
      </c>
      <c r="N500">
        <v>3</v>
      </c>
      <c r="O500" s="1">
        <v>3</v>
      </c>
      <c r="P500" s="11">
        <f t="shared" si="35"/>
        <v>0.27272727272727271</v>
      </c>
      <c r="Q500" s="11">
        <f t="shared" si="36"/>
        <v>9.0909090909090905E-3</v>
      </c>
      <c r="R500" s="19">
        <f t="shared" si="37"/>
        <v>1</v>
      </c>
      <c r="S500" s="6">
        <f t="shared" si="38"/>
        <v>1</v>
      </c>
      <c r="T500" s="5">
        <f t="shared" si="39"/>
        <v>1</v>
      </c>
    </row>
    <row r="501" spans="2:20" x14ac:dyDescent="0.25">
      <c r="B501" t="s">
        <v>772</v>
      </c>
      <c r="F501">
        <v>2</v>
      </c>
      <c r="H501">
        <v>2</v>
      </c>
      <c r="I501">
        <v>15</v>
      </c>
      <c r="J501">
        <v>5</v>
      </c>
      <c r="K501">
        <v>3</v>
      </c>
      <c r="L501">
        <v>8</v>
      </c>
      <c r="M501">
        <v>4</v>
      </c>
      <c r="N501">
        <v>39</v>
      </c>
      <c r="O501" s="1">
        <v>39</v>
      </c>
      <c r="P501" s="11">
        <f t="shared" si="35"/>
        <v>3.5454545454545454</v>
      </c>
      <c r="Q501" s="11">
        <f t="shared" si="36"/>
        <v>0.11818181818181818</v>
      </c>
      <c r="R501" s="19">
        <f t="shared" si="37"/>
        <v>3</v>
      </c>
      <c r="S501" s="6">
        <f t="shared" si="38"/>
        <v>3</v>
      </c>
      <c r="T501" s="5">
        <f t="shared" si="39"/>
        <v>1</v>
      </c>
    </row>
    <row r="502" spans="2:20" x14ac:dyDescent="0.25">
      <c r="B502" t="s">
        <v>220</v>
      </c>
      <c r="C502">
        <v>8</v>
      </c>
      <c r="D502">
        <v>13</v>
      </c>
      <c r="E502">
        <v>14</v>
      </c>
      <c r="F502">
        <v>16</v>
      </c>
      <c r="G502">
        <v>8</v>
      </c>
      <c r="H502">
        <v>15</v>
      </c>
      <c r="I502">
        <v>23</v>
      </c>
      <c r="J502">
        <v>15</v>
      </c>
      <c r="K502">
        <v>30</v>
      </c>
      <c r="L502">
        <v>38</v>
      </c>
      <c r="M502">
        <v>25</v>
      </c>
      <c r="N502">
        <v>205</v>
      </c>
      <c r="O502" s="1">
        <v>205</v>
      </c>
      <c r="P502" s="11">
        <f t="shared" si="35"/>
        <v>18.636363636363637</v>
      </c>
      <c r="Q502" s="11">
        <f t="shared" si="36"/>
        <v>0.62121212121212122</v>
      </c>
      <c r="R502" s="19">
        <f t="shared" si="37"/>
        <v>9</v>
      </c>
      <c r="S502" s="6">
        <f t="shared" si="38"/>
        <v>7</v>
      </c>
      <c r="T502" s="5">
        <f t="shared" si="39"/>
        <v>5</v>
      </c>
    </row>
    <row r="503" spans="2:20" x14ac:dyDescent="0.25">
      <c r="B503" t="s">
        <v>221</v>
      </c>
      <c r="C503">
        <v>6</v>
      </c>
      <c r="D503">
        <v>5</v>
      </c>
      <c r="E503">
        <v>3</v>
      </c>
      <c r="F503">
        <v>10</v>
      </c>
      <c r="G503">
        <v>5</v>
      </c>
      <c r="H503">
        <v>5</v>
      </c>
      <c r="I503">
        <v>9</v>
      </c>
      <c r="J503">
        <v>3</v>
      </c>
      <c r="K503">
        <v>7</v>
      </c>
      <c r="L503">
        <v>17</v>
      </c>
      <c r="M503">
        <v>7</v>
      </c>
      <c r="N503">
        <v>77</v>
      </c>
      <c r="O503" s="1">
        <v>77</v>
      </c>
      <c r="P503" s="11">
        <f t="shared" si="35"/>
        <v>7</v>
      </c>
      <c r="Q503" s="11">
        <f t="shared" si="36"/>
        <v>0.23333333333333334</v>
      </c>
      <c r="R503" s="19">
        <f t="shared" si="37"/>
        <v>5</v>
      </c>
      <c r="S503" s="6">
        <f t="shared" si="38"/>
        <v>3</v>
      </c>
      <c r="T503" s="5">
        <f t="shared" si="39"/>
        <v>3</v>
      </c>
    </row>
    <row r="504" spans="2:20" x14ac:dyDescent="0.25">
      <c r="B504" t="s">
        <v>574</v>
      </c>
      <c r="D504">
        <v>1</v>
      </c>
      <c r="E504">
        <v>1</v>
      </c>
      <c r="H504">
        <v>2</v>
      </c>
      <c r="I504">
        <v>2</v>
      </c>
      <c r="J504">
        <v>4</v>
      </c>
      <c r="K504">
        <v>3</v>
      </c>
      <c r="L504">
        <v>5</v>
      </c>
      <c r="M504">
        <v>2</v>
      </c>
      <c r="N504">
        <v>20</v>
      </c>
      <c r="O504" s="1">
        <v>20</v>
      </c>
      <c r="P504" s="11">
        <f t="shared" si="35"/>
        <v>1.8181818181818181</v>
      </c>
      <c r="Q504" s="11">
        <f t="shared" si="36"/>
        <v>6.0606060606060601E-2</v>
      </c>
      <c r="R504" s="19">
        <f t="shared" si="37"/>
        <v>1</v>
      </c>
      <c r="S504" s="6">
        <f t="shared" si="38"/>
        <v>1</v>
      </c>
      <c r="T504" s="5">
        <f t="shared" si="39"/>
        <v>1</v>
      </c>
    </row>
    <row r="505" spans="2:20" x14ac:dyDescent="0.25">
      <c r="B505" t="s">
        <v>575</v>
      </c>
      <c r="D505">
        <v>0</v>
      </c>
      <c r="N505">
        <v>0</v>
      </c>
      <c r="O505" s="1">
        <v>0</v>
      </c>
      <c r="P505" s="11">
        <f t="shared" si="35"/>
        <v>0</v>
      </c>
      <c r="Q505" s="11">
        <f t="shared" si="36"/>
        <v>0</v>
      </c>
      <c r="R505" s="19">
        <f t="shared" si="37"/>
        <v>1</v>
      </c>
      <c r="S505" s="6">
        <f t="shared" si="38"/>
        <v>1</v>
      </c>
      <c r="T505" s="5">
        <f t="shared" si="39"/>
        <v>1</v>
      </c>
    </row>
    <row r="506" spans="2:20" x14ac:dyDescent="0.25">
      <c r="B506" t="s">
        <v>830</v>
      </c>
      <c r="G506">
        <v>1</v>
      </c>
      <c r="N506">
        <v>1</v>
      </c>
      <c r="O506" s="1">
        <v>1</v>
      </c>
      <c r="P506" s="11">
        <f t="shared" si="35"/>
        <v>9.0909090909090912E-2</v>
      </c>
      <c r="Q506" s="11">
        <f t="shared" si="36"/>
        <v>3.0303030303030303E-3</v>
      </c>
      <c r="R506" s="19">
        <f t="shared" si="37"/>
        <v>1</v>
      </c>
      <c r="S506" s="6">
        <f t="shared" si="38"/>
        <v>1</v>
      </c>
      <c r="T506" s="5">
        <f t="shared" si="39"/>
        <v>1</v>
      </c>
    </row>
    <row r="507" spans="2:20" x14ac:dyDescent="0.25">
      <c r="B507" t="s">
        <v>222</v>
      </c>
      <c r="C507">
        <v>10</v>
      </c>
      <c r="D507">
        <v>6</v>
      </c>
      <c r="G507">
        <v>17</v>
      </c>
      <c r="K507">
        <v>11</v>
      </c>
      <c r="N507">
        <v>44</v>
      </c>
      <c r="O507" s="1">
        <v>44</v>
      </c>
      <c r="P507" s="11">
        <f t="shared" si="35"/>
        <v>4</v>
      </c>
      <c r="Q507" s="11">
        <f t="shared" si="36"/>
        <v>0.13333333333333333</v>
      </c>
      <c r="R507" s="19">
        <f t="shared" si="37"/>
        <v>3</v>
      </c>
      <c r="S507" s="6">
        <f t="shared" si="38"/>
        <v>3</v>
      </c>
      <c r="T507" s="5">
        <f t="shared" si="39"/>
        <v>1</v>
      </c>
    </row>
    <row r="508" spans="2:20" x14ac:dyDescent="0.25">
      <c r="B508" t="s">
        <v>773</v>
      </c>
      <c r="F508">
        <v>1</v>
      </c>
      <c r="N508">
        <v>1</v>
      </c>
      <c r="O508" s="1">
        <v>1</v>
      </c>
      <c r="P508" s="11">
        <f t="shared" si="35"/>
        <v>9.0909090909090912E-2</v>
      </c>
      <c r="Q508" s="11">
        <f t="shared" si="36"/>
        <v>3.0303030303030303E-3</v>
      </c>
      <c r="R508" s="19">
        <f t="shared" si="37"/>
        <v>1</v>
      </c>
      <c r="S508" s="6">
        <f t="shared" si="38"/>
        <v>1</v>
      </c>
      <c r="T508" s="5">
        <f t="shared" si="39"/>
        <v>1</v>
      </c>
    </row>
    <row r="509" spans="2:20" x14ac:dyDescent="0.25">
      <c r="B509" t="s">
        <v>223</v>
      </c>
      <c r="C509">
        <v>2</v>
      </c>
      <c r="D509">
        <v>2</v>
      </c>
      <c r="E509">
        <v>14</v>
      </c>
      <c r="G509">
        <v>1</v>
      </c>
      <c r="H509">
        <v>3</v>
      </c>
      <c r="I509">
        <v>5</v>
      </c>
      <c r="K509">
        <v>5</v>
      </c>
      <c r="L509">
        <v>3</v>
      </c>
      <c r="M509">
        <v>2</v>
      </c>
      <c r="N509">
        <v>37</v>
      </c>
      <c r="O509" s="1">
        <v>37</v>
      </c>
      <c r="P509" s="11">
        <f t="shared" si="35"/>
        <v>3.3636363636363638</v>
      </c>
      <c r="Q509" s="11">
        <f t="shared" si="36"/>
        <v>0.11212121212121212</v>
      </c>
      <c r="R509" s="19">
        <f t="shared" si="37"/>
        <v>3</v>
      </c>
      <c r="S509" s="6">
        <f t="shared" si="38"/>
        <v>3</v>
      </c>
      <c r="T509" s="5">
        <f t="shared" si="39"/>
        <v>1</v>
      </c>
    </row>
    <row r="510" spans="2:20" x14ac:dyDescent="0.25">
      <c r="B510" t="s">
        <v>576</v>
      </c>
      <c r="D510">
        <v>1</v>
      </c>
      <c r="E510">
        <v>1</v>
      </c>
      <c r="F510">
        <v>1</v>
      </c>
      <c r="G510">
        <v>2</v>
      </c>
      <c r="I510">
        <v>1</v>
      </c>
      <c r="J510">
        <v>4</v>
      </c>
      <c r="K510">
        <v>1</v>
      </c>
      <c r="N510">
        <v>11</v>
      </c>
      <c r="O510" s="1">
        <v>11</v>
      </c>
      <c r="P510" s="11">
        <f t="shared" si="35"/>
        <v>1</v>
      </c>
      <c r="Q510" s="11">
        <f t="shared" si="36"/>
        <v>3.3333333333333333E-2</v>
      </c>
      <c r="R510" s="19">
        <f t="shared" si="37"/>
        <v>1</v>
      </c>
      <c r="S510" s="6">
        <f t="shared" si="38"/>
        <v>1</v>
      </c>
      <c r="T510" s="5">
        <f t="shared" si="39"/>
        <v>1</v>
      </c>
    </row>
    <row r="511" spans="2:20" x14ac:dyDescent="0.25">
      <c r="B511" t="s">
        <v>577</v>
      </c>
      <c r="D511">
        <v>1</v>
      </c>
      <c r="E511">
        <v>2</v>
      </c>
      <c r="G511">
        <v>2</v>
      </c>
      <c r="I511">
        <v>2</v>
      </c>
      <c r="N511">
        <v>7</v>
      </c>
      <c r="O511" s="1">
        <v>7</v>
      </c>
      <c r="P511" s="11">
        <f t="shared" si="35"/>
        <v>0.63636363636363635</v>
      </c>
      <c r="Q511" s="11">
        <f t="shared" si="36"/>
        <v>2.1212121212121213E-2</v>
      </c>
      <c r="R511" s="19">
        <f t="shared" si="37"/>
        <v>1</v>
      </c>
      <c r="S511" s="6">
        <f t="shared" si="38"/>
        <v>1</v>
      </c>
      <c r="T511" s="5">
        <f t="shared" si="39"/>
        <v>1</v>
      </c>
    </row>
    <row r="512" spans="2:20" x14ac:dyDescent="0.25">
      <c r="B512" t="s">
        <v>831</v>
      </c>
      <c r="G512">
        <v>1</v>
      </c>
      <c r="H512">
        <v>1</v>
      </c>
      <c r="M512">
        <v>1</v>
      </c>
      <c r="N512">
        <v>3</v>
      </c>
      <c r="O512" s="1">
        <v>3</v>
      </c>
      <c r="P512" s="11">
        <f t="shared" si="35"/>
        <v>0.27272727272727271</v>
      </c>
      <c r="Q512" s="11">
        <f t="shared" si="36"/>
        <v>9.0909090909090905E-3</v>
      </c>
      <c r="R512" s="19">
        <f t="shared" si="37"/>
        <v>1</v>
      </c>
      <c r="S512" s="6">
        <f t="shared" si="38"/>
        <v>1</v>
      </c>
      <c r="T512" s="5">
        <f t="shared" si="39"/>
        <v>1</v>
      </c>
    </row>
    <row r="513" spans="2:20" x14ac:dyDescent="0.25">
      <c r="B513" t="s">
        <v>578</v>
      </c>
      <c r="D513">
        <v>2</v>
      </c>
      <c r="E513">
        <v>2</v>
      </c>
      <c r="F513">
        <v>2</v>
      </c>
      <c r="G513">
        <v>1</v>
      </c>
      <c r="I513">
        <v>1</v>
      </c>
      <c r="K513">
        <v>4</v>
      </c>
      <c r="L513">
        <v>3</v>
      </c>
      <c r="M513">
        <v>2</v>
      </c>
      <c r="N513">
        <v>17</v>
      </c>
      <c r="O513" s="1">
        <v>17</v>
      </c>
      <c r="P513" s="11">
        <f t="shared" si="35"/>
        <v>1.5454545454545454</v>
      </c>
      <c r="Q513" s="11">
        <f t="shared" si="36"/>
        <v>5.1515151515151514E-2</v>
      </c>
      <c r="R513" s="19">
        <f t="shared" si="37"/>
        <v>1</v>
      </c>
      <c r="S513" s="6">
        <f t="shared" si="38"/>
        <v>1</v>
      </c>
      <c r="T513" s="5">
        <f t="shared" si="39"/>
        <v>1</v>
      </c>
    </row>
    <row r="514" spans="2:20" x14ac:dyDescent="0.25">
      <c r="B514" t="s">
        <v>224</v>
      </c>
      <c r="C514">
        <v>28</v>
      </c>
      <c r="D514">
        <v>24</v>
      </c>
      <c r="E514">
        <v>17</v>
      </c>
      <c r="F514">
        <v>9</v>
      </c>
      <c r="G514">
        <v>12</v>
      </c>
      <c r="H514">
        <v>12</v>
      </c>
      <c r="I514">
        <v>7</v>
      </c>
      <c r="J514">
        <v>12</v>
      </c>
      <c r="K514">
        <v>13</v>
      </c>
      <c r="L514">
        <v>22</v>
      </c>
      <c r="M514">
        <v>16</v>
      </c>
      <c r="N514">
        <v>172</v>
      </c>
      <c r="O514" s="1">
        <v>172</v>
      </c>
      <c r="P514" s="11">
        <f t="shared" si="35"/>
        <v>15.636363636363637</v>
      </c>
      <c r="Q514" s="11">
        <f t="shared" si="36"/>
        <v>0.52121212121212124</v>
      </c>
      <c r="R514" s="19">
        <f t="shared" si="37"/>
        <v>9</v>
      </c>
      <c r="S514" s="6">
        <f t="shared" si="38"/>
        <v>7</v>
      </c>
      <c r="T514" s="5">
        <f t="shared" si="39"/>
        <v>5</v>
      </c>
    </row>
    <row r="515" spans="2:20" x14ac:dyDescent="0.25">
      <c r="B515" t="s">
        <v>225</v>
      </c>
      <c r="C515">
        <v>0</v>
      </c>
      <c r="D515">
        <v>2</v>
      </c>
      <c r="G515">
        <v>6</v>
      </c>
      <c r="H515">
        <v>2</v>
      </c>
      <c r="I515">
        <v>1</v>
      </c>
      <c r="J515">
        <v>3</v>
      </c>
      <c r="L515">
        <v>1</v>
      </c>
      <c r="M515">
        <v>1</v>
      </c>
      <c r="N515">
        <v>16</v>
      </c>
      <c r="O515" s="1">
        <v>16</v>
      </c>
      <c r="P515" s="11">
        <f t="shared" si="35"/>
        <v>1.4545454545454546</v>
      </c>
      <c r="Q515" s="11">
        <f t="shared" si="36"/>
        <v>4.8484848484848485E-2</v>
      </c>
      <c r="R515" s="19">
        <f t="shared" si="37"/>
        <v>1</v>
      </c>
      <c r="S515" s="6">
        <f t="shared" si="38"/>
        <v>1</v>
      </c>
      <c r="T515" s="5">
        <f t="shared" si="39"/>
        <v>1</v>
      </c>
    </row>
    <row r="516" spans="2:20" x14ac:dyDescent="0.25">
      <c r="B516" t="s">
        <v>832</v>
      </c>
      <c r="G516">
        <v>1</v>
      </c>
      <c r="N516">
        <v>1</v>
      </c>
      <c r="O516" s="1">
        <v>1</v>
      </c>
      <c r="P516" s="11">
        <f t="shared" si="35"/>
        <v>9.0909090909090912E-2</v>
      </c>
      <c r="Q516" s="11">
        <f t="shared" si="36"/>
        <v>3.0303030303030303E-3</v>
      </c>
      <c r="R516" s="19">
        <f t="shared" si="37"/>
        <v>1</v>
      </c>
      <c r="S516" s="6">
        <f t="shared" si="38"/>
        <v>1</v>
      </c>
      <c r="T516" s="5">
        <f t="shared" si="39"/>
        <v>1</v>
      </c>
    </row>
    <row r="517" spans="2:20" x14ac:dyDescent="0.25">
      <c r="B517" t="s">
        <v>833</v>
      </c>
      <c r="G517">
        <v>0</v>
      </c>
      <c r="N517">
        <v>0</v>
      </c>
      <c r="O517" s="1">
        <v>0</v>
      </c>
      <c r="P517" s="11">
        <f t="shared" si="35"/>
        <v>0</v>
      </c>
      <c r="Q517" s="11">
        <f t="shared" si="36"/>
        <v>0</v>
      </c>
      <c r="R517" s="19">
        <f t="shared" si="37"/>
        <v>1</v>
      </c>
      <c r="S517" s="6">
        <f t="shared" si="38"/>
        <v>1</v>
      </c>
      <c r="T517" s="5">
        <f t="shared" si="39"/>
        <v>1</v>
      </c>
    </row>
    <row r="518" spans="2:20" x14ac:dyDescent="0.25">
      <c r="B518" t="s">
        <v>579</v>
      </c>
      <c r="D518">
        <v>1</v>
      </c>
      <c r="J518">
        <v>1</v>
      </c>
      <c r="K518">
        <v>1</v>
      </c>
      <c r="M518">
        <v>1</v>
      </c>
      <c r="N518">
        <v>4</v>
      </c>
      <c r="O518" s="1">
        <v>4</v>
      </c>
      <c r="P518" s="11">
        <f t="shared" ref="P518:P581" si="40">O518/11</f>
        <v>0.36363636363636365</v>
      </c>
      <c r="Q518" s="11">
        <f t="shared" si="36"/>
        <v>1.2121212121212121E-2</v>
      </c>
      <c r="R518" s="19">
        <f t="shared" si="37"/>
        <v>1</v>
      </c>
      <c r="S518" s="6">
        <f t="shared" si="38"/>
        <v>1</v>
      </c>
      <c r="T518" s="5">
        <f t="shared" si="39"/>
        <v>1</v>
      </c>
    </row>
    <row r="519" spans="2:20" x14ac:dyDescent="0.25">
      <c r="B519" t="s">
        <v>226</v>
      </c>
      <c r="C519">
        <v>5</v>
      </c>
      <c r="D519">
        <v>1</v>
      </c>
      <c r="E519">
        <v>3</v>
      </c>
      <c r="F519">
        <v>4</v>
      </c>
      <c r="H519">
        <v>2</v>
      </c>
      <c r="J519">
        <v>7</v>
      </c>
      <c r="K519">
        <v>4</v>
      </c>
      <c r="L519">
        <v>2</v>
      </c>
      <c r="M519">
        <v>1</v>
      </c>
      <c r="N519">
        <v>29</v>
      </c>
      <c r="O519" s="1">
        <v>29</v>
      </c>
      <c r="P519" s="11">
        <f t="shared" si="40"/>
        <v>2.6363636363636362</v>
      </c>
      <c r="Q519" s="11">
        <f t="shared" ref="Q519:Q582" si="41">P519/30</f>
        <v>8.7878787878787876E-2</v>
      </c>
      <c r="R519" s="19">
        <f t="shared" ref="R519:R582" si="42">ODD(Q519*14)</f>
        <v>3</v>
      </c>
      <c r="S519" s="6">
        <f t="shared" ref="S519:S582" si="43">ODD(Q519*10.5)</f>
        <v>1</v>
      </c>
      <c r="T519" s="5">
        <f t="shared" ref="T519:T582" si="44">ODD(Q519*7)</f>
        <v>1</v>
      </c>
    </row>
    <row r="520" spans="2:20" x14ac:dyDescent="0.25">
      <c r="B520" t="s">
        <v>1056</v>
      </c>
      <c r="L520">
        <v>18</v>
      </c>
      <c r="N520">
        <v>18</v>
      </c>
      <c r="O520" s="1">
        <v>18</v>
      </c>
      <c r="P520" s="11">
        <f t="shared" si="40"/>
        <v>1.6363636363636365</v>
      </c>
      <c r="Q520" s="11">
        <f t="shared" si="41"/>
        <v>5.454545454545455E-2</v>
      </c>
      <c r="R520" s="19">
        <f t="shared" si="42"/>
        <v>1</v>
      </c>
      <c r="S520" s="6">
        <f t="shared" si="43"/>
        <v>1</v>
      </c>
      <c r="T520" s="5">
        <f t="shared" si="44"/>
        <v>1</v>
      </c>
    </row>
    <row r="521" spans="2:20" x14ac:dyDescent="0.25">
      <c r="B521" t="s">
        <v>971</v>
      </c>
      <c r="J521">
        <v>2</v>
      </c>
      <c r="N521">
        <v>2</v>
      </c>
      <c r="O521" s="1">
        <v>2</v>
      </c>
      <c r="P521" s="11">
        <f t="shared" si="40"/>
        <v>0.18181818181818182</v>
      </c>
      <c r="Q521" s="11">
        <f t="shared" si="41"/>
        <v>6.0606060606060606E-3</v>
      </c>
      <c r="R521" s="19">
        <f t="shared" si="42"/>
        <v>1</v>
      </c>
      <c r="S521" s="6">
        <f t="shared" si="43"/>
        <v>1</v>
      </c>
      <c r="T521" s="5">
        <f t="shared" si="44"/>
        <v>1</v>
      </c>
    </row>
    <row r="522" spans="2:20" x14ac:dyDescent="0.25">
      <c r="B522" t="s">
        <v>227</v>
      </c>
      <c r="C522">
        <v>16</v>
      </c>
      <c r="D522">
        <v>5</v>
      </c>
      <c r="E522">
        <v>11</v>
      </c>
      <c r="F522">
        <v>6</v>
      </c>
      <c r="G522">
        <v>3</v>
      </c>
      <c r="H522">
        <v>8</v>
      </c>
      <c r="I522">
        <v>4</v>
      </c>
      <c r="J522">
        <v>4</v>
      </c>
      <c r="K522">
        <v>1</v>
      </c>
      <c r="L522">
        <v>1</v>
      </c>
      <c r="N522">
        <v>59</v>
      </c>
      <c r="O522" s="1">
        <v>59</v>
      </c>
      <c r="P522" s="11">
        <f t="shared" si="40"/>
        <v>5.3636363636363633</v>
      </c>
      <c r="Q522" s="11">
        <f t="shared" si="41"/>
        <v>0.17878787878787877</v>
      </c>
      <c r="R522" s="19">
        <f t="shared" si="42"/>
        <v>3</v>
      </c>
      <c r="S522" s="6">
        <f t="shared" si="43"/>
        <v>3</v>
      </c>
      <c r="T522" s="5">
        <f t="shared" si="44"/>
        <v>3</v>
      </c>
    </row>
    <row r="523" spans="2:20" x14ac:dyDescent="0.25">
      <c r="B523" t="s">
        <v>228</v>
      </c>
      <c r="C523">
        <v>1</v>
      </c>
      <c r="D523">
        <v>2</v>
      </c>
      <c r="E523">
        <v>3</v>
      </c>
      <c r="F523">
        <v>3</v>
      </c>
      <c r="H523">
        <v>0</v>
      </c>
      <c r="J523">
        <v>2</v>
      </c>
      <c r="K523">
        <v>2</v>
      </c>
      <c r="L523">
        <v>3</v>
      </c>
      <c r="M523">
        <v>0</v>
      </c>
      <c r="N523">
        <v>16</v>
      </c>
      <c r="O523" s="1">
        <v>16</v>
      </c>
      <c r="P523" s="11">
        <f t="shared" si="40"/>
        <v>1.4545454545454546</v>
      </c>
      <c r="Q523" s="11">
        <f t="shared" si="41"/>
        <v>4.8484848484848485E-2</v>
      </c>
      <c r="R523" s="19">
        <f t="shared" si="42"/>
        <v>1</v>
      </c>
      <c r="S523" s="6">
        <f t="shared" si="43"/>
        <v>1</v>
      </c>
      <c r="T523" s="5">
        <f t="shared" si="44"/>
        <v>1</v>
      </c>
    </row>
    <row r="524" spans="2:20" x14ac:dyDescent="0.25">
      <c r="B524" t="s">
        <v>229</v>
      </c>
      <c r="C524">
        <v>11</v>
      </c>
      <c r="D524">
        <v>11</v>
      </c>
      <c r="E524">
        <v>15</v>
      </c>
      <c r="F524">
        <v>16</v>
      </c>
      <c r="G524">
        <v>13</v>
      </c>
      <c r="H524">
        <v>17</v>
      </c>
      <c r="I524">
        <v>13</v>
      </c>
      <c r="J524">
        <v>14</v>
      </c>
      <c r="K524">
        <v>17</v>
      </c>
      <c r="L524">
        <v>17</v>
      </c>
      <c r="M524">
        <v>9</v>
      </c>
      <c r="N524">
        <v>153</v>
      </c>
      <c r="O524" s="1">
        <v>153</v>
      </c>
      <c r="P524" s="11">
        <f t="shared" si="40"/>
        <v>13.909090909090908</v>
      </c>
      <c r="Q524" s="11">
        <f t="shared" si="41"/>
        <v>0.46363636363636362</v>
      </c>
      <c r="R524" s="19">
        <f t="shared" si="42"/>
        <v>7</v>
      </c>
      <c r="S524" s="6">
        <f t="shared" si="43"/>
        <v>5</v>
      </c>
      <c r="T524" s="5">
        <f t="shared" si="44"/>
        <v>5</v>
      </c>
    </row>
    <row r="525" spans="2:20" x14ac:dyDescent="0.25">
      <c r="B525" t="s">
        <v>230</v>
      </c>
      <c r="C525">
        <v>17</v>
      </c>
      <c r="D525">
        <v>31</v>
      </c>
      <c r="E525">
        <v>5</v>
      </c>
      <c r="F525">
        <v>9</v>
      </c>
      <c r="G525">
        <v>13</v>
      </c>
      <c r="H525">
        <v>30</v>
      </c>
      <c r="I525">
        <v>24</v>
      </c>
      <c r="J525">
        <v>7</v>
      </c>
      <c r="K525">
        <v>22</v>
      </c>
      <c r="L525">
        <v>33</v>
      </c>
      <c r="M525">
        <v>14</v>
      </c>
      <c r="N525">
        <v>205</v>
      </c>
      <c r="O525" s="1">
        <v>205</v>
      </c>
      <c r="P525" s="11">
        <f t="shared" si="40"/>
        <v>18.636363636363637</v>
      </c>
      <c r="Q525" s="11">
        <f t="shared" si="41"/>
        <v>0.62121212121212122</v>
      </c>
      <c r="R525" s="19">
        <f t="shared" si="42"/>
        <v>9</v>
      </c>
      <c r="S525" s="6">
        <f t="shared" si="43"/>
        <v>7</v>
      </c>
      <c r="T525" s="5">
        <f t="shared" si="44"/>
        <v>5</v>
      </c>
    </row>
    <row r="526" spans="2:20" x14ac:dyDescent="0.25">
      <c r="B526" t="s">
        <v>231</v>
      </c>
      <c r="C526">
        <v>2</v>
      </c>
      <c r="D526">
        <v>1</v>
      </c>
      <c r="I526">
        <v>2</v>
      </c>
      <c r="J526">
        <v>1</v>
      </c>
      <c r="K526">
        <v>1</v>
      </c>
      <c r="M526">
        <v>1</v>
      </c>
      <c r="N526">
        <v>8</v>
      </c>
      <c r="O526" s="1">
        <v>8</v>
      </c>
      <c r="P526" s="11">
        <f t="shared" si="40"/>
        <v>0.72727272727272729</v>
      </c>
      <c r="Q526" s="11">
        <f t="shared" si="41"/>
        <v>2.4242424242424242E-2</v>
      </c>
      <c r="R526" s="19">
        <f t="shared" si="42"/>
        <v>1</v>
      </c>
      <c r="S526" s="6">
        <f t="shared" si="43"/>
        <v>1</v>
      </c>
      <c r="T526" s="5">
        <f t="shared" si="44"/>
        <v>1</v>
      </c>
    </row>
    <row r="527" spans="2:20" x14ac:dyDescent="0.25">
      <c r="B527" t="s">
        <v>933</v>
      </c>
      <c r="I527">
        <v>1</v>
      </c>
      <c r="L527">
        <v>2</v>
      </c>
      <c r="M527">
        <v>1</v>
      </c>
      <c r="N527">
        <v>4</v>
      </c>
      <c r="O527" s="1">
        <v>4</v>
      </c>
      <c r="P527" s="11">
        <f t="shared" si="40"/>
        <v>0.36363636363636365</v>
      </c>
      <c r="Q527" s="11">
        <f t="shared" si="41"/>
        <v>1.2121212121212121E-2</v>
      </c>
      <c r="R527" s="19">
        <f t="shared" si="42"/>
        <v>1</v>
      </c>
      <c r="S527" s="6">
        <f t="shared" si="43"/>
        <v>1</v>
      </c>
      <c r="T527" s="5">
        <f t="shared" si="44"/>
        <v>1</v>
      </c>
    </row>
    <row r="528" spans="2:20" x14ac:dyDescent="0.25">
      <c r="B528" t="s">
        <v>774</v>
      </c>
      <c r="F528">
        <v>1</v>
      </c>
      <c r="N528">
        <v>1</v>
      </c>
      <c r="O528" s="1">
        <v>1</v>
      </c>
      <c r="P528" s="11">
        <f t="shared" si="40"/>
        <v>9.0909090909090912E-2</v>
      </c>
      <c r="Q528" s="11">
        <f t="shared" si="41"/>
        <v>3.0303030303030303E-3</v>
      </c>
      <c r="R528" s="19">
        <f t="shared" si="42"/>
        <v>1</v>
      </c>
      <c r="S528" s="6">
        <f t="shared" si="43"/>
        <v>1</v>
      </c>
      <c r="T528" s="5">
        <f t="shared" si="44"/>
        <v>1</v>
      </c>
    </row>
    <row r="529" spans="2:20" x14ac:dyDescent="0.25">
      <c r="B529" t="s">
        <v>232</v>
      </c>
      <c r="C529">
        <v>3</v>
      </c>
      <c r="D529">
        <v>3</v>
      </c>
      <c r="E529">
        <v>2</v>
      </c>
      <c r="F529">
        <v>1</v>
      </c>
      <c r="G529">
        <v>2</v>
      </c>
      <c r="H529">
        <v>5</v>
      </c>
      <c r="I529">
        <v>2</v>
      </c>
      <c r="L529">
        <v>2</v>
      </c>
      <c r="N529">
        <v>20</v>
      </c>
      <c r="O529" s="1">
        <v>20</v>
      </c>
      <c r="P529" s="11">
        <f t="shared" si="40"/>
        <v>1.8181818181818181</v>
      </c>
      <c r="Q529" s="11">
        <f t="shared" si="41"/>
        <v>6.0606060606060601E-2</v>
      </c>
      <c r="R529" s="19">
        <f t="shared" si="42"/>
        <v>1</v>
      </c>
      <c r="S529" s="6">
        <f t="shared" si="43"/>
        <v>1</v>
      </c>
      <c r="T529" s="5">
        <f t="shared" si="44"/>
        <v>1</v>
      </c>
    </row>
    <row r="530" spans="2:20" x14ac:dyDescent="0.25">
      <c r="B530" t="s">
        <v>233</v>
      </c>
      <c r="C530">
        <v>2</v>
      </c>
      <c r="D530">
        <v>1</v>
      </c>
      <c r="E530">
        <v>1</v>
      </c>
      <c r="F530">
        <v>3</v>
      </c>
      <c r="G530">
        <v>1</v>
      </c>
      <c r="H530">
        <v>3</v>
      </c>
      <c r="J530">
        <v>1</v>
      </c>
      <c r="K530">
        <v>1</v>
      </c>
      <c r="L530">
        <v>2</v>
      </c>
      <c r="M530">
        <v>1</v>
      </c>
      <c r="N530">
        <v>16</v>
      </c>
      <c r="O530" s="1">
        <v>16</v>
      </c>
      <c r="P530" s="11">
        <f t="shared" si="40"/>
        <v>1.4545454545454546</v>
      </c>
      <c r="Q530" s="11">
        <f t="shared" si="41"/>
        <v>4.8484848484848485E-2</v>
      </c>
      <c r="R530" s="19">
        <f t="shared" si="42"/>
        <v>1</v>
      </c>
      <c r="S530" s="6">
        <f t="shared" si="43"/>
        <v>1</v>
      </c>
      <c r="T530" s="5">
        <f t="shared" si="44"/>
        <v>1</v>
      </c>
    </row>
    <row r="531" spans="2:20" x14ac:dyDescent="0.25">
      <c r="B531" t="s">
        <v>234</v>
      </c>
      <c r="C531">
        <v>7</v>
      </c>
      <c r="D531">
        <v>3</v>
      </c>
      <c r="F531">
        <v>0</v>
      </c>
      <c r="G531">
        <v>3</v>
      </c>
      <c r="H531">
        <v>4</v>
      </c>
      <c r="I531">
        <v>3</v>
      </c>
      <c r="J531">
        <v>2</v>
      </c>
      <c r="K531">
        <v>1</v>
      </c>
      <c r="L531">
        <v>3</v>
      </c>
      <c r="M531">
        <v>10</v>
      </c>
      <c r="N531">
        <v>36</v>
      </c>
      <c r="O531" s="1">
        <v>36</v>
      </c>
      <c r="P531" s="11">
        <f t="shared" si="40"/>
        <v>3.2727272727272729</v>
      </c>
      <c r="Q531" s="11">
        <f t="shared" si="41"/>
        <v>0.1090909090909091</v>
      </c>
      <c r="R531" s="19">
        <f t="shared" si="42"/>
        <v>3</v>
      </c>
      <c r="S531" s="6">
        <f t="shared" si="43"/>
        <v>3</v>
      </c>
      <c r="T531" s="5">
        <f t="shared" si="44"/>
        <v>1</v>
      </c>
    </row>
    <row r="532" spans="2:20" x14ac:dyDescent="0.25">
      <c r="B532" t="s">
        <v>683</v>
      </c>
      <c r="E532">
        <v>1</v>
      </c>
      <c r="N532">
        <v>1</v>
      </c>
      <c r="O532" s="1">
        <v>1</v>
      </c>
      <c r="P532" s="11">
        <f t="shared" si="40"/>
        <v>9.0909090909090912E-2</v>
      </c>
      <c r="Q532" s="11">
        <f t="shared" si="41"/>
        <v>3.0303030303030303E-3</v>
      </c>
      <c r="R532" s="19">
        <f t="shared" si="42"/>
        <v>1</v>
      </c>
      <c r="S532" s="6">
        <f t="shared" si="43"/>
        <v>1</v>
      </c>
      <c r="T532" s="5">
        <f t="shared" si="44"/>
        <v>1</v>
      </c>
    </row>
    <row r="533" spans="2:20" x14ac:dyDescent="0.25">
      <c r="B533" t="s">
        <v>1093</v>
      </c>
      <c r="M533">
        <v>6</v>
      </c>
      <c r="N533">
        <v>6</v>
      </c>
      <c r="O533" s="1">
        <v>6</v>
      </c>
      <c r="P533" s="11">
        <f t="shared" si="40"/>
        <v>0.54545454545454541</v>
      </c>
      <c r="Q533" s="11">
        <f t="shared" si="41"/>
        <v>1.8181818181818181E-2</v>
      </c>
      <c r="R533" s="19">
        <f t="shared" si="42"/>
        <v>1</v>
      </c>
      <c r="S533" s="6">
        <f t="shared" si="43"/>
        <v>1</v>
      </c>
      <c r="T533" s="5">
        <f t="shared" si="44"/>
        <v>1</v>
      </c>
    </row>
    <row r="534" spans="2:20" x14ac:dyDescent="0.25">
      <c r="B534" t="s">
        <v>684</v>
      </c>
      <c r="E534">
        <v>0</v>
      </c>
      <c r="G534">
        <v>1</v>
      </c>
      <c r="J534">
        <v>1</v>
      </c>
      <c r="M534">
        <v>1</v>
      </c>
      <c r="N534">
        <v>3</v>
      </c>
      <c r="O534" s="1">
        <v>3</v>
      </c>
      <c r="P534" s="11">
        <f t="shared" si="40"/>
        <v>0.27272727272727271</v>
      </c>
      <c r="Q534" s="11">
        <f t="shared" si="41"/>
        <v>9.0909090909090905E-3</v>
      </c>
      <c r="R534" s="19">
        <f t="shared" si="42"/>
        <v>1</v>
      </c>
      <c r="S534" s="6">
        <f t="shared" si="43"/>
        <v>1</v>
      </c>
      <c r="T534" s="5">
        <f t="shared" si="44"/>
        <v>1</v>
      </c>
    </row>
    <row r="535" spans="2:20" x14ac:dyDescent="0.25">
      <c r="B535" t="s">
        <v>235</v>
      </c>
      <c r="C535">
        <v>1</v>
      </c>
      <c r="D535">
        <v>4</v>
      </c>
      <c r="E535">
        <v>3</v>
      </c>
      <c r="F535">
        <v>2</v>
      </c>
      <c r="G535">
        <v>1</v>
      </c>
      <c r="H535">
        <v>2</v>
      </c>
      <c r="I535">
        <v>2</v>
      </c>
      <c r="J535">
        <v>1</v>
      </c>
      <c r="K535">
        <v>5</v>
      </c>
      <c r="L535">
        <v>7</v>
      </c>
      <c r="M535">
        <v>5</v>
      </c>
      <c r="N535">
        <v>33</v>
      </c>
      <c r="O535" s="1">
        <v>33</v>
      </c>
      <c r="P535" s="11">
        <f t="shared" si="40"/>
        <v>3</v>
      </c>
      <c r="Q535" s="11">
        <f t="shared" si="41"/>
        <v>0.1</v>
      </c>
      <c r="R535" s="19">
        <f t="shared" si="42"/>
        <v>3</v>
      </c>
      <c r="S535" s="6">
        <f t="shared" si="43"/>
        <v>3</v>
      </c>
      <c r="T535" s="5">
        <f t="shared" si="44"/>
        <v>1</v>
      </c>
    </row>
    <row r="536" spans="2:20" x14ac:dyDescent="0.25">
      <c r="B536" t="s">
        <v>934</v>
      </c>
      <c r="I536">
        <v>1</v>
      </c>
      <c r="L536">
        <v>1</v>
      </c>
      <c r="N536">
        <v>2</v>
      </c>
      <c r="O536" s="1">
        <v>2</v>
      </c>
      <c r="P536" s="11">
        <f t="shared" si="40"/>
        <v>0.18181818181818182</v>
      </c>
      <c r="Q536" s="11">
        <f t="shared" si="41"/>
        <v>6.0606060606060606E-3</v>
      </c>
      <c r="R536" s="19">
        <f t="shared" si="42"/>
        <v>1</v>
      </c>
      <c r="S536" s="6">
        <f t="shared" si="43"/>
        <v>1</v>
      </c>
      <c r="T536" s="5">
        <f t="shared" si="44"/>
        <v>1</v>
      </c>
    </row>
    <row r="537" spans="2:20" x14ac:dyDescent="0.25">
      <c r="B537" t="s">
        <v>685</v>
      </c>
      <c r="E537">
        <v>1</v>
      </c>
      <c r="N537">
        <v>1</v>
      </c>
      <c r="O537" s="1">
        <v>1</v>
      </c>
      <c r="P537" s="11">
        <f t="shared" si="40"/>
        <v>9.0909090909090912E-2</v>
      </c>
      <c r="Q537" s="11">
        <f t="shared" si="41"/>
        <v>3.0303030303030303E-3</v>
      </c>
      <c r="R537" s="19">
        <f t="shared" si="42"/>
        <v>1</v>
      </c>
      <c r="S537" s="6">
        <f t="shared" si="43"/>
        <v>1</v>
      </c>
      <c r="T537" s="5">
        <f t="shared" si="44"/>
        <v>1</v>
      </c>
    </row>
    <row r="538" spans="2:20" x14ac:dyDescent="0.25">
      <c r="B538" t="s">
        <v>580</v>
      </c>
      <c r="D538">
        <v>3</v>
      </c>
      <c r="E538">
        <v>3</v>
      </c>
      <c r="F538">
        <v>1</v>
      </c>
      <c r="G538">
        <v>2</v>
      </c>
      <c r="H538">
        <v>1</v>
      </c>
      <c r="I538">
        <v>1</v>
      </c>
      <c r="N538">
        <v>11</v>
      </c>
      <c r="O538" s="1">
        <v>11</v>
      </c>
      <c r="P538" s="11">
        <f t="shared" si="40"/>
        <v>1</v>
      </c>
      <c r="Q538" s="11">
        <f t="shared" si="41"/>
        <v>3.3333333333333333E-2</v>
      </c>
      <c r="R538" s="19">
        <f t="shared" si="42"/>
        <v>1</v>
      </c>
      <c r="S538" s="6">
        <f t="shared" si="43"/>
        <v>1</v>
      </c>
      <c r="T538" s="5">
        <f t="shared" si="44"/>
        <v>1</v>
      </c>
    </row>
    <row r="539" spans="2:20" x14ac:dyDescent="0.25">
      <c r="B539" t="s">
        <v>236</v>
      </c>
      <c r="C539">
        <v>5</v>
      </c>
      <c r="H539">
        <v>2</v>
      </c>
      <c r="I539">
        <v>4</v>
      </c>
      <c r="K539">
        <v>4</v>
      </c>
      <c r="L539">
        <v>12</v>
      </c>
      <c r="M539">
        <v>3</v>
      </c>
      <c r="N539">
        <v>30</v>
      </c>
      <c r="O539" s="1">
        <v>30</v>
      </c>
      <c r="P539" s="11">
        <f t="shared" si="40"/>
        <v>2.7272727272727271</v>
      </c>
      <c r="Q539" s="11">
        <f t="shared" si="41"/>
        <v>9.0909090909090898E-2</v>
      </c>
      <c r="R539" s="19">
        <f t="shared" si="42"/>
        <v>3</v>
      </c>
      <c r="S539" s="6">
        <f t="shared" si="43"/>
        <v>1</v>
      </c>
      <c r="T539" s="5">
        <f t="shared" si="44"/>
        <v>1</v>
      </c>
    </row>
    <row r="540" spans="2:20" x14ac:dyDescent="0.25">
      <c r="B540" t="s">
        <v>775</v>
      </c>
      <c r="F540">
        <v>2</v>
      </c>
      <c r="G540">
        <v>1</v>
      </c>
      <c r="L540">
        <v>3</v>
      </c>
      <c r="N540">
        <v>6</v>
      </c>
      <c r="O540" s="1">
        <v>6</v>
      </c>
      <c r="P540" s="11">
        <f t="shared" si="40"/>
        <v>0.54545454545454541</v>
      </c>
      <c r="Q540" s="11">
        <f t="shared" si="41"/>
        <v>1.8181818181818181E-2</v>
      </c>
      <c r="R540" s="19">
        <f t="shared" si="42"/>
        <v>1</v>
      </c>
      <c r="S540" s="6">
        <f t="shared" si="43"/>
        <v>1</v>
      </c>
      <c r="T540" s="5">
        <f t="shared" si="44"/>
        <v>1</v>
      </c>
    </row>
    <row r="541" spans="2:20" x14ac:dyDescent="0.25">
      <c r="B541" t="s">
        <v>237</v>
      </c>
      <c r="C541">
        <v>7</v>
      </c>
      <c r="D541">
        <v>1</v>
      </c>
      <c r="E541">
        <v>2</v>
      </c>
      <c r="F541">
        <v>10</v>
      </c>
      <c r="G541">
        <v>3</v>
      </c>
      <c r="H541">
        <v>1</v>
      </c>
      <c r="I541">
        <v>5</v>
      </c>
      <c r="J541">
        <v>3</v>
      </c>
      <c r="K541">
        <v>2</v>
      </c>
      <c r="L541">
        <v>4</v>
      </c>
      <c r="M541">
        <v>7</v>
      </c>
      <c r="N541">
        <v>45</v>
      </c>
      <c r="O541" s="1">
        <v>45</v>
      </c>
      <c r="P541" s="11">
        <f t="shared" si="40"/>
        <v>4.0909090909090908</v>
      </c>
      <c r="Q541" s="11">
        <f t="shared" si="41"/>
        <v>0.13636363636363635</v>
      </c>
      <c r="R541" s="19">
        <f t="shared" si="42"/>
        <v>3</v>
      </c>
      <c r="S541" s="6">
        <f t="shared" si="43"/>
        <v>3</v>
      </c>
      <c r="T541" s="5">
        <f t="shared" si="44"/>
        <v>1</v>
      </c>
    </row>
    <row r="542" spans="2:20" x14ac:dyDescent="0.25">
      <c r="B542" t="s">
        <v>686</v>
      </c>
      <c r="E542">
        <v>1</v>
      </c>
      <c r="F542">
        <v>2</v>
      </c>
      <c r="G542">
        <v>1</v>
      </c>
      <c r="H542">
        <v>1</v>
      </c>
      <c r="I542">
        <v>1</v>
      </c>
      <c r="K542">
        <v>2</v>
      </c>
      <c r="L542">
        <v>1</v>
      </c>
      <c r="M542">
        <v>1</v>
      </c>
      <c r="N542">
        <v>10</v>
      </c>
      <c r="O542" s="1">
        <v>10</v>
      </c>
      <c r="P542" s="11">
        <f t="shared" si="40"/>
        <v>0.90909090909090906</v>
      </c>
      <c r="Q542" s="11">
        <f t="shared" si="41"/>
        <v>3.03030303030303E-2</v>
      </c>
      <c r="R542" s="19">
        <f t="shared" si="42"/>
        <v>1</v>
      </c>
      <c r="S542" s="6">
        <f t="shared" si="43"/>
        <v>1</v>
      </c>
      <c r="T542" s="5">
        <f t="shared" si="44"/>
        <v>1</v>
      </c>
    </row>
    <row r="543" spans="2:20" x14ac:dyDescent="0.25">
      <c r="B543" t="s">
        <v>238</v>
      </c>
      <c r="C543">
        <v>1</v>
      </c>
      <c r="K543">
        <v>2</v>
      </c>
      <c r="L543">
        <v>1</v>
      </c>
      <c r="N543">
        <v>4</v>
      </c>
      <c r="O543" s="1">
        <v>4</v>
      </c>
      <c r="P543" s="11">
        <f t="shared" si="40"/>
        <v>0.36363636363636365</v>
      </c>
      <c r="Q543" s="11">
        <f t="shared" si="41"/>
        <v>1.2121212121212121E-2</v>
      </c>
      <c r="R543" s="19">
        <f t="shared" si="42"/>
        <v>1</v>
      </c>
      <c r="S543" s="6">
        <f t="shared" si="43"/>
        <v>1</v>
      </c>
      <c r="T543" s="5">
        <f t="shared" si="44"/>
        <v>1</v>
      </c>
    </row>
    <row r="544" spans="2:20" x14ac:dyDescent="0.25">
      <c r="B544" t="s">
        <v>581</v>
      </c>
      <c r="D544">
        <v>1</v>
      </c>
      <c r="K544">
        <v>1</v>
      </c>
      <c r="N544">
        <v>2</v>
      </c>
      <c r="O544" s="1">
        <v>2</v>
      </c>
      <c r="P544" s="11">
        <f t="shared" si="40"/>
        <v>0.18181818181818182</v>
      </c>
      <c r="Q544" s="11">
        <f t="shared" si="41"/>
        <v>6.0606060606060606E-3</v>
      </c>
      <c r="R544" s="19">
        <f t="shared" si="42"/>
        <v>1</v>
      </c>
      <c r="S544" s="6">
        <f t="shared" si="43"/>
        <v>1</v>
      </c>
      <c r="T544" s="5">
        <f t="shared" si="44"/>
        <v>1</v>
      </c>
    </row>
    <row r="545" spans="2:20" x14ac:dyDescent="0.25">
      <c r="B545" t="s">
        <v>687</v>
      </c>
      <c r="E545">
        <v>1</v>
      </c>
      <c r="N545">
        <v>1</v>
      </c>
      <c r="O545" s="1">
        <v>1</v>
      </c>
      <c r="P545" s="11">
        <f t="shared" si="40"/>
        <v>9.0909090909090912E-2</v>
      </c>
      <c r="Q545" s="11">
        <f t="shared" si="41"/>
        <v>3.0303030303030303E-3</v>
      </c>
      <c r="R545" s="19">
        <f t="shared" si="42"/>
        <v>1</v>
      </c>
      <c r="S545" s="6">
        <f t="shared" si="43"/>
        <v>1</v>
      </c>
      <c r="T545" s="5">
        <f t="shared" si="44"/>
        <v>1</v>
      </c>
    </row>
    <row r="546" spans="2:20" x14ac:dyDescent="0.25">
      <c r="B546" t="s">
        <v>239</v>
      </c>
      <c r="C546">
        <v>1</v>
      </c>
      <c r="N546">
        <v>1</v>
      </c>
      <c r="O546" s="1">
        <v>1</v>
      </c>
      <c r="P546" s="11">
        <f t="shared" si="40"/>
        <v>9.0909090909090912E-2</v>
      </c>
      <c r="Q546" s="11">
        <f t="shared" si="41"/>
        <v>3.0303030303030303E-3</v>
      </c>
      <c r="R546" s="19">
        <f t="shared" si="42"/>
        <v>1</v>
      </c>
      <c r="S546" s="6">
        <f t="shared" si="43"/>
        <v>1</v>
      </c>
      <c r="T546" s="5">
        <f t="shared" si="44"/>
        <v>1</v>
      </c>
    </row>
    <row r="547" spans="2:20" x14ac:dyDescent="0.25">
      <c r="B547" t="s">
        <v>1008</v>
      </c>
      <c r="K547">
        <v>1</v>
      </c>
      <c r="N547">
        <v>1</v>
      </c>
      <c r="O547" s="1">
        <v>1</v>
      </c>
      <c r="P547" s="11">
        <f t="shared" si="40"/>
        <v>9.0909090909090912E-2</v>
      </c>
      <c r="Q547" s="11">
        <f t="shared" si="41"/>
        <v>3.0303030303030303E-3</v>
      </c>
      <c r="R547" s="19">
        <f t="shared" si="42"/>
        <v>1</v>
      </c>
      <c r="S547" s="6">
        <f t="shared" si="43"/>
        <v>1</v>
      </c>
      <c r="T547" s="5">
        <f t="shared" si="44"/>
        <v>1</v>
      </c>
    </row>
    <row r="548" spans="2:20" x14ac:dyDescent="0.25">
      <c r="B548" t="s">
        <v>240</v>
      </c>
      <c r="C548">
        <v>1</v>
      </c>
      <c r="D548">
        <v>1</v>
      </c>
      <c r="N548">
        <v>2</v>
      </c>
      <c r="O548" s="1">
        <v>2</v>
      </c>
      <c r="P548" s="11">
        <f t="shared" si="40"/>
        <v>0.18181818181818182</v>
      </c>
      <c r="Q548" s="11">
        <f t="shared" si="41"/>
        <v>6.0606060606060606E-3</v>
      </c>
      <c r="R548" s="19">
        <f t="shared" si="42"/>
        <v>1</v>
      </c>
      <c r="S548" s="6">
        <f t="shared" si="43"/>
        <v>1</v>
      </c>
      <c r="T548" s="5">
        <f t="shared" si="44"/>
        <v>1</v>
      </c>
    </row>
    <row r="549" spans="2:20" x14ac:dyDescent="0.25">
      <c r="B549" t="s">
        <v>241</v>
      </c>
      <c r="C549">
        <v>3</v>
      </c>
      <c r="D549">
        <v>3</v>
      </c>
      <c r="N549">
        <v>6</v>
      </c>
      <c r="O549" s="1">
        <v>6</v>
      </c>
      <c r="P549" s="11">
        <f t="shared" si="40"/>
        <v>0.54545454545454541</v>
      </c>
      <c r="Q549" s="11">
        <f t="shared" si="41"/>
        <v>1.8181818181818181E-2</v>
      </c>
      <c r="R549" s="19">
        <f t="shared" si="42"/>
        <v>1</v>
      </c>
      <c r="S549" s="6">
        <f t="shared" si="43"/>
        <v>1</v>
      </c>
      <c r="T549" s="5">
        <f t="shared" si="44"/>
        <v>1</v>
      </c>
    </row>
    <row r="550" spans="2:20" x14ac:dyDescent="0.25">
      <c r="B550" t="s">
        <v>242</v>
      </c>
      <c r="C550">
        <v>2</v>
      </c>
      <c r="D550">
        <v>3</v>
      </c>
      <c r="E550">
        <v>4</v>
      </c>
      <c r="H550">
        <v>6</v>
      </c>
      <c r="I550">
        <v>6</v>
      </c>
      <c r="J550">
        <v>3</v>
      </c>
      <c r="K550">
        <v>2</v>
      </c>
      <c r="L550">
        <v>1</v>
      </c>
      <c r="N550">
        <v>27</v>
      </c>
      <c r="O550" s="1">
        <v>27</v>
      </c>
      <c r="P550" s="11">
        <f t="shared" si="40"/>
        <v>2.4545454545454546</v>
      </c>
      <c r="Q550" s="11">
        <f t="shared" si="41"/>
        <v>8.1818181818181818E-2</v>
      </c>
      <c r="R550" s="19">
        <f t="shared" si="42"/>
        <v>3</v>
      </c>
      <c r="S550" s="6">
        <f t="shared" si="43"/>
        <v>1</v>
      </c>
      <c r="T550" s="5">
        <f t="shared" si="44"/>
        <v>1</v>
      </c>
    </row>
    <row r="551" spans="2:20" x14ac:dyDescent="0.25">
      <c r="B551" t="s">
        <v>243</v>
      </c>
      <c r="C551">
        <v>4</v>
      </c>
      <c r="D551">
        <v>3</v>
      </c>
      <c r="N551">
        <v>7</v>
      </c>
      <c r="O551" s="1">
        <v>7</v>
      </c>
      <c r="P551" s="11">
        <f t="shared" si="40"/>
        <v>0.63636363636363635</v>
      </c>
      <c r="Q551" s="11">
        <f t="shared" si="41"/>
        <v>2.1212121212121213E-2</v>
      </c>
      <c r="R551" s="19">
        <f t="shared" si="42"/>
        <v>1</v>
      </c>
      <c r="S551" s="6">
        <f t="shared" si="43"/>
        <v>1</v>
      </c>
      <c r="T551" s="5">
        <f t="shared" si="44"/>
        <v>1</v>
      </c>
    </row>
    <row r="552" spans="2:20" x14ac:dyDescent="0.25">
      <c r="B552" t="s">
        <v>244</v>
      </c>
      <c r="C552">
        <v>8</v>
      </c>
      <c r="D552">
        <v>2</v>
      </c>
      <c r="E552">
        <v>1</v>
      </c>
      <c r="G552">
        <v>2</v>
      </c>
      <c r="H552">
        <v>1</v>
      </c>
      <c r="I552">
        <v>6</v>
      </c>
      <c r="J552">
        <v>3</v>
      </c>
      <c r="K552">
        <v>3</v>
      </c>
      <c r="L552">
        <v>7</v>
      </c>
      <c r="M552">
        <v>9</v>
      </c>
      <c r="N552">
        <v>42</v>
      </c>
      <c r="O552" s="1">
        <v>42</v>
      </c>
      <c r="P552" s="11">
        <f t="shared" si="40"/>
        <v>3.8181818181818183</v>
      </c>
      <c r="Q552" s="11">
        <f t="shared" si="41"/>
        <v>0.12727272727272729</v>
      </c>
      <c r="R552" s="19">
        <f t="shared" si="42"/>
        <v>3</v>
      </c>
      <c r="S552" s="6">
        <f t="shared" si="43"/>
        <v>3</v>
      </c>
      <c r="T552" s="5">
        <f t="shared" si="44"/>
        <v>1</v>
      </c>
    </row>
    <row r="553" spans="2:20" x14ac:dyDescent="0.25">
      <c r="B553" t="s">
        <v>245</v>
      </c>
      <c r="C553">
        <v>3</v>
      </c>
      <c r="D553">
        <v>2</v>
      </c>
      <c r="E553">
        <v>3</v>
      </c>
      <c r="F553">
        <v>2</v>
      </c>
      <c r="G553">
        <v>4</v>
      </c>
      <c r="H553">
        <v>7</v>
      </c>
      <c r="I553">
        <v>11</v>
      </c>
      <c r="J553">
        <v>10</v>
      </c>
      <c r="K553">
        <v>9</v>
      </c>
      <c r="L553">
        <v>11</v>
      </c>
      <c r="M553">
        <v>21</v>
      </c>
      <c r="N553">
        <v>83</v>
      </c>
      <c r="O553" s="1">
        <v>83</v>
      </c>
      <c r="P553" s="11">
        <f t="shared" si="40"/>
        <v>7.5454545454545459</v>
      </c>
      <c r="Q553" s="11">
        <f t="shared" si="41"/>
        <v>0.25151515151515152</v>
      </c>
      <c r="R553" s="19">
        <f t="shared" si="42"/>
        <v>5</v>
      </c>
      <c r="S553" s="6">
        <f t="shared" si="43"/>
        <v>3</v>
      </c>
      <c r="T553" s="5">
        <f t="shared" si="44"/>
        <v>3</v>
      </c>
    </row>
    <row r="554" spans="2:20" x14ac:dyDescent="0.25">
      <c r="B554" t="s">
        <v>582</v>
      </c>
      <c r="D554">
        <v>6</v>
      </c>
      <c r="F554">
        <v>6</v>
      </c>
      <c r="H554">
        <v>6</v>
      </c>
      <c r="I554">
        <v>4</v>
      </c>
      <c r="J554">
        <v>11</v>
      </c>
      <c r="K554">
        <v>9</v>
      </c>
      <c r="L554">
        <v>13</v>
      </c>
      <c r="M554">
        <v>5</v>
      </c>
      <c r="N554">
        <v>60</v>
      </c>
      <c r="O554" s="1">
        <v>60</v>
      </c>
      <c r="P554" s="11">
        <f t="shared" si="40"/>
        <v>5.4545454545454541</v>
      </c>
      <c r="Q554" s="11">
        <f t="shared" si="41"/>
        <v>0.1818181818181818</v>
      </c>
      <c r="R554" s="19">
        <f t="shared" si="42"/>
        <v>3</v>
      </c>
      <c r="S554" s="6">
        <f t="shared" si="43"/>
        <v>3</v>
      </c>
      <c r="T554" s="5">
        <f t="shared" si="44"/>
        <v>3</v>
      </c>
    </row>
    <row r="555" spans="2:20" x14ac:dyDescent="0.25">
      <c r="B555" t="s">
        <v>246</v>
      </c>
      <c r="C555">
        <v>1</v>
      </c>
      <c r="D555">
        <v>6</v>
      </c>
      <c r="N555">
        <v>7</v>
      </c>
      <c r="O555" s="1">
        <v>7</v>
      </c>
      <c r="P555" s="11">
        <f t="shared" si="40"/>
        <v>0.63636363636363635</v>
      </c>
      <c r="Q555" s="11">
        <f t="shared" si="41"/>
        <v>2.1212121212121213E-2</v>
      </c>
      <c r="R555" s="19">
        <f t="shared" si="42"/>
        <v>1</v>
      </c>
      <c r="S555" s="6">
        <f t="shared" si="43"/>
        <v>1</v>
      </c>
      <c r="T555" s="5">
        <f t="shared" si="44"/>
        <v>1</v>
      </c>
    </row>
    <row r="556" spans="2:20" x14ac:dyDescent="0.25">
      <c r="B556" t="s">
        <v>1094</v>
      </c>
      <c r="M556">
        <v>1</v>
      </c>
      <c r="N556">
        <v>1</v>
      </c>
      <c r="O556" s="1">
        <v>1</v>
      </c>
      <c r="P556" s="11">
        <f t="shared" si="40"/>
        <v>9.0909090909090912E-2</v>
      </c>
      <c r="Q556" s="11">
        <f t="shared" si="41"/>
        <v>3.0303030303030303E-3</v>
      </c>
      <c r="R556" s="19">
        <f t="shared" si="42"/>
        <v>1</v>
      </c>
      <c r="S556" s="6">
        <f t="shared" si="43"/>
        <v>1</v>
      </c>
      <c r="T556" s="5">
        <f t="shared" si="44"/>
        <v>1</v>
      </c>
    </row>
    <row r="557" spans="2:20" x14ac:dyDescent="0.25">
      <c r="B557" t="s">
        <v>247</v>
      </c>
      <c r="C557">
        <v>1</v>
      </c>
      <c r="D557">
        <v>3</v>
      </c>
      <c r="N557">
        <v>4</v>
      </c>
      <c r="O557" s="1">
        <v>4</v>
      </c>
      <c r="P557" s="11">
        <f t="shared" si="40"/>
        <v>0.36363636363636365</v>
      </c>
      <c r="Q557" s="11">
        <f t="shared" si="41"/>
        <v>1.2121212121212121E-2</v>
      </c>
      <c r="R557" s="19">
        <f t="shared" si="42"/>
        <v>1</v>
      </c>
      <c r="S557" s="6">
        <f t="shared" si="43"/>
        <v>1</v>
      </c>
      <c r="T557" s="5">
        <f t="shared" si="44"/>
        <v>1</v>
      </c>
    </row>
    <row r="558" spans="2:20" x14ac:dyDescent="0.25">
      <c r="B558" t="s">
        <v>248</v>
      </c>
      <c r="C558">
        <v>3</v>
      </c>
      <c r="D558">
        <v>1</v>
      </c>
      <c r="E558">
        <v>4</v>
      </c>
      <c r="F558">
        <v>1</v>
      </c>
      <c r="G558">
        <v>1</v>
      </c>
      <c r="H558">
        <v>5</v>
      </c>
      <c r="I558">
        <v>5</v>
      </c>
      <c r="J558">
        <v>1</v>
      </c>
      <c r="K558">
        <v>6</v>
      </c>
      <c r="L558">
        <v>7</v>
      </c>
      <c r="M558">
        <v>5</v>
      </c>
      <c r="N558">
        <v>39</v>
      </c>
      <c r="O558" s="1">
        <v>39</v>
      </c>
      <c r="P558" s="11">
        <f t="shared" si="40"/>
        <v>3.5454545454545454</v>
      </c>
      <c r="Q558" s="11">
        <f t="shared" si="41"/>
        <v>0.11818181818181818</v>
      </c>
      <c r="R558" s="19">
        <f t="shared" si="42"/>
        <v>3</v>
      </c>
      <c r="S558" s="6">
        <f t="shared" si="43"/>
        <v>3</v>
      </c>
      <c r="T558" s="5">
        <f t="shared" si="44"/>
        <v>1</v>
      </c>
    </row>
    <row r="559" spans="2:20" x14ac:dyDescent="0.25">
      <c r="B559" t="s">
        <v>249</v>
      </c>
      <c r="C559">
        <v>2</v>
      </c>
      <c r="D559">
        <v>4</v>
      </c>
      <c r="E559">
        <v>2</v>
      </c>
      <c r="G559">
        <v>2</v>
      </c>
      <c r="H559">
        <v>4</v>
      </c>
      <c r="I559">
        <v>1</v>
      </c>
      <c r="J559">
        <v>2</v>
      </c>
      <c r="K559">
        <v>3</v>
      </c>
      <c r="L559">
        <v>1</v>
      </c>
      <c r="M559">
        <v>5</v>
      </c>
      <c r="N559">
        <v>26</v>
      </c>
      <c r="O559" s="1">
        <v>26</v>
      </c>
      <c r="P559" s="11">
        <f t="shared" si="40"/>
        <v>2.3636363636363638</v>
      </c>
      <c r="Q559" s="11">
        <f t="shared" si="41"/>
        <v>7.8787878787878796E-2</v>
      </c>
      <c r="R559" s="19">
        <f t="shared" si="42"/>
        <v>3</v>
      </c>
      <c r="S559" s="6">
        <f t="shared" si="43"/>
        <v>1</v>
      </c>
      <c r="T559" s="5">
        <f t="shared" si="44"/>
        <v>1</v>
      </c>
    </row>
    <row r="560" spans="2:20" x14ac:dyDescent="0.25">
      <c r="B560" t="s">
        <v>250</v>
      </c>
      <c r="C560">
        <v>3</v>
      </c>
      <c r="D560">
        <v>2</v>
      </c>
      <c r="F560">
        <v>2</v>
      </c>
      <c r="H560">
        <v>3</v>
      </c>
      <c r="I560">
        <v>6</v>
      </c>
      <c r="J560">
        <v>4</v>
      </c>
      <c r="K560">
        <v>8</v>
      </c>
      <c r="L560">
        <v>7</v>
      </c>
      <c r="M560">
        <v>8</v>
      </c>
      <c r="N560">
        <v>43</v>
      </c>
      <c r="O560" s="1">
        <v>43</v>
      </c>
      <c r="P560" s="11">
        <f t="shared" si="40"/>
        <v>3.9090909090909092</v>
      </c>
      <c r="Q560" s="11">
        <f t="shared" si="41"/>
        <v>0.13030303030303031</v>
      </c>
      <c r="R560" s="19">
        <f t="shared" si="42"/>
        <v>3</v>
      </c>
      <c r="S560" s="6">
        <f t="shared" si="43"/>
        <v>3</v>
      </c>
      <c r="T560" s="5">
        <f t="shared" si="44"/>
        <v>1</v>
      </c>
    </row>
    <row r="561" spans="2:20" x14ac:dyDescent="0.25">
      <c r="B561" t="s">
        <v>583</v>
      </c>
      <c r="D561">
        <v>1</v>
      </c>
      <c r="N561">
        <v>1</v>
      </c>
      <c r="O561" s="1">
        <v>1</v>
      </c>
      <c r="P561" s="11">
        <f t="shared" si="40"/>
        <v>9.0909090909090912E-2</v>
      </c>
      <c r="Q561" s="11">
        <f t="shared" si="41"/>
        <v>3.0303030303030303E-3</v>
      </c>
      <c r="R561" s="19">
        <f t="shared" si="42"/>
        <v>1</v>
      </c>
      <c r="S561" s="6">
        <f t="shared" si="43"/>
        <v>1</v>
      </c>
      <c r="T561" s="5">
        <f t="shared" si="44"/>
        <v>1</v>
      </c>
    </row>
    <row r="562" spans="2:20" x14ac:dyDescent="0.25">
      <c r="B562" t="s">
        <v>584</v>
      </c>
      <c r="D562">
        <v>20</v>
      </c>
      <c r="E562">
        <v>30</v>
      </c>
      <c r="F562">
        <v>8</v>
      </c>
      <c r="G562">
        <v>6</v>
      </c>
      <c r="H562">
        <v>7</v>
      </c>
      <c r="I562">
        <v>4</v>
      </c>
      <c r="K562">
        <v>40</v>
      </c>
      <c r="L562">
        <v>6</v>
      </c>
      <c r="M562">
        <v>26</v>
      </c>
      <c r="N562">
        <v>147</v>
      </c>
      <c r="O562" s="1">
        <v>147</v>
      </c>
      <c r="P562" s="11">
        <f t="shared" si="40"/>
        <v>13.363636363636363</v>
      </c>
      <c r="Q562" s="11">
        <f t="shared" si="41"/>
        <v>0.44545454545454544</v>
      </c>
      <c r="R562" s="19">
        <f t="shared" si="42"/>
        <v>7</v>
      </c>
      <c r="S562" s="6">
        <f t="shared" si="43"/>
        <v>5</v>
      </c>
      <c r="T562" s="5">
        <f t="shared" si="44"/>
        <v>5</v>
      </c>
    </row>
    <row r="563" spans="2:20" x14ac:dyDescent="0.25">
      <c r="B563" t="s">
        <v>1009</v>
      </c>
      <c r="K563">
        <v>2</v>
      </c>
      <c r="L563">
        <v>2</v>
      </c>
      <c r="N563">
        <v>4</v>
      </c>
      <c r="O563" s="1">
        <v>4</v>
      </c>
      <c r="P563" s="11">
        <f t="shared" si="40"/>
        <v>0.36363636363636365</v>
      </c>
      <c r="Q563" s="11">
        <f t="shared" si="41"/>
        <v>1.2121212121212121E-2</v>
      </c>
      <c r="R563" s="19">
        <f t="shared" si="42"/>
        <v>1</v>
      </c>
      <c r="S563" s="6">
        <f t="shared" si="43"/>
        <v>1</v>
      </c>
      <c r="T563" s="5">
        <f t="shared" si="44"/>
        <v>1</v>
      </c>
    </row>
    <row r="564" spans="2:20" x14ac:dyDescent="0.25">
      <c r="B564" t="s">
        <v>251</v>
      </c>
      <c r="C564">
        <v>3</v>
      </c>
      <c r="D564">
        <v>1</v>
      </c>
      <c r="F564">
        <v>6</v>
      </c>
      <c r="H564">
        <v>2</v>
      </c>
      <c r="I564">
        <v>1</v>
      </c>
      <c r="J564">
        <v>1</v>
      </c>
      <c r="K564">
        <v>1</v>
      </c>
      <c r="L564">
        <v>3</v>
      </c>
      <c r="N564">
        <v>18</v>
      </c>
      <c r="O564" s="1">
        <v>18</v>
      </c>
      <c r="P564" s="11">
        <f t="shared" si="40"/>
        <v>1.6363636363636365</v>
      </c>
      <c r="Q564" s="11">
        <f t="shared" si="41"/>
        <v>5.454545454545455E-2</v>
      </c>
      <c r="R564" s="19">
        <f t="shared" si="42"/>
        <v>1</v>
      </c>
      <c r="S564" s="6">
        <f t="shared" si="43"/>
        <v>1</v>
      </c>
      <c r="T564" s="5">
        <f t="shared" si="44"/>
        <v>1</v>
      </c>
    </row>
    <row r="565" spans="2:20" x14ac:dyDescent="0.25">
      <c r="B565" t="s">
        <v>585</v>
      </c>
      <c r="D565">
        <v>2</v>
      </c>
      <c r="E565">
        <v>1</v>
      </c>
      <c r="F565">
        <v>1</v>
      </c>
      <c r="H565">
        <v>2</v>
      </c>
      <c r="I565">
        <v>4</v>
      </c>
      <c r="J565">
        <v>2</v>
      </c>
      <c r="K565">
        <v>1</v>
      </c>
      <c r="L565">
        <v>1</v>
      </c>
      <c r="M565">
        <v>1</v>
      </c>
      <c r="N565">
        <v>15</v>
      </c>
      <c r="O565" s="1">
        <v>15</v>
      </c>
      <c r="P565" s="11">
        <f t="shared" si="40"/>
        <v>1.3636363636363635</v>
      </c>
      <c r="Q565" s="11">
        <f t="shared" si="41"/>
        <v>4.5454545454545449E-2</v>
      </c>
      <c r="R565" s="19">
        <f t="shared" si="42"/>
        <v>1</v>
      </c>
      <c r="S565" s="6">
        <f t="shared" si="43"/>
        <v>1</v>
      </c>
      <c r="T565" s="5">
        <f t="shared" si="44"/>
        <v>1</v>
      </c>
    </row>
    <row r="566" spans="2:20" x14ac:dyDescent="0.25">
      <c r="B566" t="s">
        <v>252</v>
      </c>
      <c r="C566">
        <v>2</v>
      </c>
      <c r="D566">
        <v>2</v>
      </c>
      <c r="N566">
        <v>4</v>
      </c>
      <c r="O566" s="1">
        <v>4</v>
      </c>
      <c r="P566" s="11">
        <f t="shared" si="40"/>
        <v>0.36363636363636365</v>
      </c>
      <c r="Q566" s="11">
        <f t="shared" si="41"/>
        <v>1.2121212121212121E-2</v>
      </c>
      <c r="R566" s="19">
        <f t="shared" si="42"/>
        <v>1</v>
      </c>
      <c r="S566" s="6">
        <f t="shared" si="43"/>
        <v>1</v>
      </c>
      <c r="T566" s="5">
        <f t="shared" si="44"/>
        <v>1</v>
      </c>
    </row>
    <row r="567" spans="2:20" x14ac:dyDescent="0.25">
      <c r="B567" t="s">
        <v>1010</v>
      </c>
      <c r="K567">
        <v>0</v>
      </c>
      <c r="L567">
        <v>3</v>
      </c>
      <c r="M567">
        <v>3</v>
      </c>
      <c r="N567">
        <v>6</v>
      </c>
      <c r="O567" s="1">
        <v>6</v>
      </c>
      <c r="P567" s="11">
        <f t="shared" si="40"/>
        <v>0.54545454545454541</v>
      </c>
      <c r="Q567" s="11">
        <f t="shared" si="41"/>
        <v>1.8181818181818181E-2</v>
      </c>
      <c r="R567" s="19">
        <f t="shared" si="42"/>
        <v>1</v>
      </c>
      <c r="S567" s="6">
        <f t="shared" si="43"/>
        <v>1</v>
      </c>
      <c r="T567" s="5">
        <f t="shared" si="44"/>
        <v>1</v>
      </c>
    </row>
    <row r="568" spans="2:20" x14ac:dyDescent="0.25">
      <c r="B568" t="s">
        <v>253</v>
      </c>
      <c r="C568">
        <v>171</v>
      </c>
      <c r="D568">
        <v>164</v>
      </c>
      <c r="E568">
        <v>152</v>
      </c>
      <c r="F568">
        <v>116</v>
      </c>
      <c r="G568">
        <v>106</v>
      </c>
      <c r="H568">
        <v>90</v>
      </c>
      <c r="I568">
        <v>100</v>
      </c>
      <c r="J568">
        <v>85</v>
      </c>
      <c r="K568">
        <v>126</v>
      </c>
      <c r="L568">
        <v>122</v>
      </c>
      <c r="M568">
        <v>122</v>
      </c>
      <c r="N568">
        <v>1354</v>
      </c>
      <c r="O568" s="1">
        <v>1354</v>
      </c>
      <c r="P568" s="11">
        <f t="shared" si="40"/>
        <v>123.09090909090909</v>
      </c>
      <c r="Q568" s="11">
        <f t="shared" si="41"/>
        <v>4.1030303030303035</v>
      </c>
      <c r="R568" s="19">
        <f t="shared" si="42"/>
        <v>59</v>
      </c>
      <c r="S568" s="6">
        <f t="shared" si="43"/>
        <v>45</v>
      </c>
      <c r="T568" s="5">
        <f t="shared" si="44"/>
        <v>29</v>
      </c>
    </row>
    <row r="569" spans="2:20" x14ac:dyDescent="0.25">
      <c r="B569" t="s">
        <v>254</v>
      </c>
      <c r="C569">
        <v>27</v>
      </c>
      <c r="D569">
        <v>15</v>
      </c>
      <c r="E569">
        <v>10</v>
      </c>
      <c r="F569">
        <v>16</v>
      </c>
      <c r="G569">
        <v>16</v>
      </c>
      <c r="H569">
        <v>13</v>
      </c>
      <c r="I569">
        <v>12</v>
      </c>
      <c r="J569">
        <v>14</v>
      </c>
      <c r="K569">
        <v>22</v>
      </c>
      <c r="L569">
        <v>20</v>
      </c>
      <c r="M569">
        <v>11</v>
      </c>
      <c r="N569">
        <v>176</v>
      </c>
      <c r="O569" s="1">
        <v>176</v>
      </c>
      <c r="P569" s="11">
        <f t="shared" si="40"/>
        <v>16</v>
      </c>
      <c r="Q569" s="11">
        <f t="shared" si="41"/>
        <v>0.53333333333333333</v>
      </c>
      <c r="R569" s="19">
        <f t="shared" si="42"/>
        <v>9</v>
      </c>
      <c r="S569" s="6">
        <f t="shared" si="43"/>
        <v>7</v>
      </c>
      <c r="T569" s="5">
        <f t="shared" si="44"/>
        <v>5</v>
      </c>
    </row>
    <row r="570" spans="2:20" x14ac:dyDescent="0.25">
      <c r="B570" t="s">
        <v>255</v>
      </c>
      <c r="C570">
        <v>8</v>
      </c>
      <c r="D570">
        <v>11</v>
      </c>
      <c r="E570">
        <v>5</v>
      </c>
      <c r="F570">
        <v>10</v>
      </c>
      <c r="G570">
        <v>7</v>
      </c>
      <c r="H570">
        <v>7</v>
      </c>
      <c r="I570">
        <v>18</v>
      </c>
      <c r="J570">
        <v>11</v>
      </c>
      <c r="K570">
        <v>11</v>
      </c>
      <c r="L570">
        <v>17</v>
      </c>
      <c r="M570">
        <v>11</v>
      </c>
      <c r="N570">
        <v>116</v>
      </c>
      <c r="O570" s="1">
        <v>116</v>
      </c>
      <c r="P570" s="11">
        <f t="shared" si="40"/>
        <v>10.545454545454545</v>
      </c>
      <c r="Q570" s="11">
        <f t="shared" si="41"/>
        <v>0.3515151515151515</v>
      </c>
      <c r="R570" s="19">
        <f t="shared" si="42"/>
        <v>5</v>
      </c>
      <c r="S570" s="6">
        <f t="shared" si="43"/>
        <v>5</v>
      </c>
      <c r="T570" s="5">
        <f t="shared" si="44"/>
        <v>3</v>
      </c>
    </row>
    <row r="571" spans="2:20" x14ac:dyDescent="0.25">
      <c r="B571" t="s">
        <v>1057</v>
      </c>
      <c r="L571">
        <v>5</v>
      </c>
      <c r="N571">
        <v>5</v>
      </c>
      <c r="O571" s="1">
        <v>5</v>
      </c>
      <c r="P571" s="11">
        <f t="shared" si="40"/>
        <v>0.45454545454545453</v>
      </c>
      <c r="Q571" s="11">
        <f t="shared" si="41"/>
        <v>1.515151515151515E-2</v>
      </c>
      <c r="R571" s="19">
        <f t="shared" si="42"/>
        <v>1</v>
      </c>
      <c r="S571" s="6">
        <f t="shared" si="43"/>
        <v>1</v>
      </c>
      <c r="T571" s="5">
        <f t="shared" si="44"/>
        <v>1</v>
      </c>
    </row>
    <row r="572" spans="2:20" x14ac:dyDescent="0.25">
      <c r="B572" t="s">
        <v>776</v>
      </c>
      <c r="F572">
        <v>1</v>
      </c>
      <c r="G572">
        <v>1</v>
      </c>
      <c r="K572">
        <v>2</v>
      </c>
      <c r="L572">
        <v>1</v>
      </c>
      <c r="N572">
        <v>5</v>
      </c>
      <c r="O572" s="1">
        <v>5</v>
      </c>
      <c r="P572" s="11">
        <f t="shared" si="40"/>
        <v>0.45454545454545453</v>
      </c>
      <c r="Q572" s="11">
        <f t="shared" si="41"/>
        <v>1.515151515151515E-2</v>
      </c>
      <c r="R572" s="19">
        <f t="shared" si="42"/>
        <v>1</v>
      </c>
      <c r="S572" s="6">
        <f t="shared" si="43"/>
        <v>1</v>
      </c>
      <c r="T572" s="5">
        <f t="shared" si="44"/>
        <v>1</v>
      </c>
    </row>
    <row r="573" spans="2:20" x14ac:dyDescent="0.25">
      <c r="B573" t="s">
        <v>256</v>
      </c>
      <c r="C573">
        <v>2</v>
      </c>
      <c r="N573">
        <v>2</v>
      </c>
      <c r="O573" s="1">
        <v>2</v>
      </c>
      <c r="P573" s="11">
        <f t="shared" si="40"/>
        <v>0.18181818181818182</v>
      </c>
      <c r="Q573" s="11">
        <f t="shared" si="41"/>
        <v>6.0606060606060606E-3</v>
      </c>
      <c r="R573" s="19">
        <f t="shared" si="42"/>
        <v>1</v>
      </c>
      <c r="S573" s="6">
        <f t="shared" si="43"/>
        <v>1</v>
      </c>
      <c r="T573" s="5">
        <f t="shared" si="44"/>
        <v>1</v>
      </c>
    </row>
    <row r="574" spans="2:20" x14ac:dyDescent="0.25">
      <c r="B574" t="s">
        <v>586</v>
      </c>
      <c r="D574">
        <v>2</v>
      </c>
      <c r="H574">
        <v>0</v>
      </c>
      <c r="I574">
        <v>3</v>
      </c>
      <c r="N574">
        <v>5</v>
      </c>
      <c r="O574" s="1">
        <v>5</v>
      </c>
      <c r="P574" s="11">
        <f t="shared" si="40"/>
        <v>0.45454545454545453</v>
      </c>
      <c r="Q574" s="11">
        <f t="shared" si="41"/>
        <v>1.515151515151515E-2</v>
      </c>
      <c r="R574" s="19">
        <f t="shared" si="42"/>
        <v>1</v>
      </c>
      <c r="S574" s="6">
        <f t="shared" si="43"/>
        <v>1</v>
      </c>
      <c r="T574" s="5">
        <f t="shared" si="44"/>
        <v>1</v>
      </c>
    </row>
    <row r="575" spans="2:20" x14ac:dyDescent="0.25">
      <c r="B575" t="s">
        <v>257</v>
      </c>
      <c r="C575">
        <v>8</v>
      </c>
      <c r="D575">
        <v>1</v>
      </c>
      <c r="E575">
        <v>1</v>
      </c>
      <c r="F575">
        <v>3</v>
      </c>
      <c r="J575">
        <v>14</v>
      </c>
      <c r="K575">
        <v>1</v>
      </c>
      <c r="M575">
        <v>3</v>
      </c>
      <c r="N575">
        <v>31</v>
      </c>
      <c r="O575" s="1">
        <v>31</v>
      </c>
      <c r="P575" s="11">
        <f t="shared" si="40"/>
        <v>2.8181818181818183</v>
      </c>
      <c r="Q575" s="11">
        <f t="shared" si="41"/>
        <v>9.3939393939393948E-2</v>
      </c>
      <c r="R575" s="19">
        <f t="shared" si="42"/>
        <v>3</v>
      </c>
      <c r="S575" s="6">
        <f t="shared" si="43"/>
        <v>1</v>
      </c>
      <c r="T575" s="5">
        <f t="shared" si="44"/>
        <v>1</v>
      </c>
    </row>
    <row r="576" spans="2:20" x14ac:dyDescent="0.25">
      <c r="B576" t="s">
        <v>258</v>
      </c>
      <c r="C576">
        <v>1</v>
      </c>
      <c r="N576">
        <v>1</v>
      </c>
      <c r="O576" s="1">
        <v>1</v>
      </c>
      <c r="P576" s="11">
        <f t="shared" si="40"/>
        <v>9.0909090909090912E-2</v>
      </c>
      <c r="Q576" s="11">
        <f t="shared" si="41"/>
        <v>3.0303030303030303E-3</v>
      </c>
      <c r="R576" s="19">
        <f t="shared" si="42"/>
        <v>1</v>
      </c>
      <c r="S576" s="6">
        <f t="shared" si="43"/>
        <v>1</v>
      </c>
      <c r="T576" s="5">
        <f t="shared" si="44"/>
        <v>1</v>
      </c>
    </row>
    <row r="577" spans="2:20" x14ac:dyDescent="0.25">
      <c r="B577" t="s">
        <v>587</v>
      </c>
      <c r="D577">
        <v>2</v>
      </c>
      <c r="E577">
        <v>1</v>
      </c>
      <c r="F577">
        <v>1</v>
      </c>
      <c r="L577">
        <v>1</v>
      </c>
      <c r="M577">
        <v>1</v>
      </c>
      <c r="N577">
        <v>6</v>
      </c>
      <c r="O577" s="1">
        <v>6</v>
      </c>
      <c r="P577" s="11">
        <f t="shared" si="40"/>
        <v>0.54545454545454541</v>
      </c>
      <c r="Q577" s="11">
        <f t="shared" si="41"/>
        <v>1.8181818181818181E-2</v>
      </c>
      <c r="R577" s="19">
        <f t="shared" si="42"/>
        <v>1</v>
      </c>
      <c r="S577" s="6">
        <f t="shared" si="43"/>
        <v>1</v>
      </c>
      <c r="T577" s="5">
        <f t="shared" si="44"/>
        <v>1</v>
      </c>
    </row>
    <row r="578" spans="2:20" x14ac:dyDescent="0.25">
      <c r="B578" t="s">
        <v>259</v>
      </c>
      <c r="C578">
        <v>5</v>
      </c>
      <c r="D578">
        <v>4</v>
      </c>
      <c r="E578">
        <v>5</v>
      </c>
      <c r="F578">
        <v>8</v>
      </c>
      <c r="G578">
        <v>4</v>
      </c>
      <c r="H578">
        <v>10</v>
      </c>
      <c r="I578">
        <v>4</v>
      </c>
      <c r="J578">
        <v>4</v>
      </c>
      <c r="K578">
        <v>2</v>
      </c>
      <c r="L578">
        <v>3</v>
      </c>
      <c r="M578">
        <v>3</v>
      </c>
      <c r="N578">
        <v>52</v>
      </c>
      <c r="O578" s="1">
        <v>52</v>
      </c>
      <c r="P578" s="11">
        <f t="shared" si="40"/>
        <v>4.7272727272727275</v>
      </c>
      <c r="Q578" s="11">
        <f t="shared" si="41"/>
        <v>0.15757575757575759</v>
      </c>
      <c r="R578" s="19">
        <f t="shared" si="42"/>
        <v>3</v>
      </c>
      <c r="S578" s="6">
        <f t="shared" si="43"/>
        <v>3</v>
      </c>
      <c r="T578" s="5">
        <f t="shared" si="44"/>
        <v>3</v>
      </c>
    </row>
    <row r="579" spans="2:20" x14ac:dyDescent="0.25">
      <c r="B579" t="s">
        <v>260</v>
      </c>
      <c r="C579">
        <v>1</v>
      </c>
      <c r="D579">
        <v>3</v>
      </c>
      <c r="E579">
        <v>2</v>
      </c>
      <c r="F579">
        <v>2</v>
      </c>
      <c r="G579">
        <v>2</v>
      </c>
      <c r="I579">
        <v>3</v>
      </c>
      <c r="J579">
        <v>4</v>
      </c>
      <c r="K579">
        <v>2</v>
      </c>
      <c r="N579">
        <v>19</v>
      </c>
      <c r="O579" s="1">
        <v>19</v>
      </c>
      <c r="P579" s="11">
        <f t="shared" si="40"/>
        <v>1.7272727272727273</v>
      </c>
      <c r="Q579" s="11">
        <f t="shared" si="41"/>
        <v>5.7575757575757579E-2</v>
      </c>
      <c r="R579" s="19">
        <f t="shared" si="42"/>
        <v>1</v>
      </c>
      <c r="S579" s="6">
        <f t="shared" si="43"/>
        <v>1</v>
      </c>
      <c r="T579" s="5">
        <f t="shared" si="44"/>
        <v>1</v>
      </c>
    </row>
    <row r="580" spans="2:20" x14ac:dyDescent="0.25">
      <c r="B580" t="s">
        <v>261</v>
      </c>
      <c r="C580">
        <v>1</v>
      </c>
      <c r="G580">
        <v>2</v>
      </c>
      <c r="I580">
        <v>1</v>
      </c>
      <c r="L580">
        <v>1</v>
      </c>
      <c r="N580">
        <v>5</v>
      </c>
      <c r="O580" s="1">
        <v>5</v>
      </c>
      <c r="P580" s="11">
        <f t="shared" si="40"/>
        <v>0.45454545454545453</v>
      </c>
      <c r="Q580" s="11">
        <f t="shared" si="41"/>
        <v>1.515151515151515E-2</v>
      </c>
      <c r="R580" s="19">
        <f t="shared" si="42"/>
        <v>1</v>
      </c>
      <c r="S580" s="6">
        <f t="shared" si="43"/>
        <v>1</v>
      </c>
      <c r="T580" s="5">
        <f t="shared" si="44"/>
        <v>1</v>
      </c>
    </row>
    <row r="581" spans="2:20" x14ac:dyDescent="0.25">
      <c r="B581" t="s">
        <v>588</v>
      </c>
      <c r="D581">
        <v>1</v>
      </c>
      <c r="F581">
        <v>1</v>
      </c>
      <c r="G581">
        <v>1</v>
      </c>
      <c r="H581">
        <v>2</v>
      </c>
      <c r="I581">
        <v>1</v>
      </c>
      <c r="J581">
        <v>1</v>
      </c>
      <c r="N581">
        <v>7</v>
      </c>
      <c r="O581" s="1">
        <v>7</v>
      </c>
      <c r="P581" s="11">
        <f t="shared" si="40"/>
        <v>0.63636363636363635</v>
      </c>
      <c r="Q581" s="11">
        <f t="shared" si="41"/>
        <v>2.1212121212121213E-2</v>
      </c>
      <c r="R581" s="19">
        <f t="shared" si="42"/>
        <v>1</v>
      </c>
      <c r="S581" s="6">
        <f t="shared" si="43"/>
        <v>1</v>
      </c>
      <c r="T581" s="5">
        <f t="shared" si="44"/>
        <v>1</v>
      </c>
    </row>
    <row r="582" spans="2:20" x14ac:dyDescent="0.25">
      <c r="B582" t="s">
        <v>589</v>
      </c>
      <c r="D582">
        <v>1</v>
      </c>
      <c r="L582">
        <v>1</v>
      </c>
      <c r="M582">
        <v>1</v>
      </c>
      <c r="N582">
        <v>3</v>
      </c>
      <c r="O582" s="1">
        <v>3</v>
      </c>
      <c r="P582" s="11">
        <f t="shared" ref="P582:P645" si="45">O582/11</f>
        <v>0.27272727272727271</v>
      </c>
      <c r="Q582" s="11">
        <f t="shared" si="41"/>
        <v>9.0909090909090905E-3</v>
      </c>
      <c r="R582" s="19">
        <f t="shared" si="42"/>
        <v>1</v>
      </c>
      <c r="S582" s="6">
        <f t="shared" si="43"/>
        <v>1</v>
      </c>
      <c r="T582" s="5">
        <f t="shared" si="44"/>
        <v>1</v>
      </c>
    </row>
    <row r="583" spans="2:20" x14ac:dyDescent="0.25">
      <c r="B583" t="s">
        <v>834</v>
      </c>
      <c r="G583">
        <v>1</v>
      </c>
      <c r="I583">
        <v>2</v>
      </c>
      <c r="L583">
        <v>1</v>
      </c>
      <c r="M583">
        <v>1</v>
      </c>
      <c r="N583">
        <v>5</v>
      </c>
      <c r="O583" s="1">
        <v>5</v>
      </c>
      <c r="P583" s="11">
        <f t="shared" si="45"/>
        <v>0.45454545454545453</v>
      </c>
      <c r="Q583" s="11">
        <f t="shared" ref="Q583:Q646" si="46">P583/30</f>
        <v>1.515151515151515E-2</v>
      </c>
      <c r="R583" s="19">
        <f t="shared" ref="R583:R646" si="47">ODD(Q583*14)</f>
        <v>1</v>
      </c>
      <c r="S583" s="6">
        <f t="shared" ref="S583:S646" si="48">ODD(Q583*10.5)</f>
        <v>1</v>
      </c>
      <c r="T583" s="5">
        <f t="shared" ref="T583:T646" si="49">ODD(Q583*7)</f>
        <v>1</v>
      </c>
    </row>
    <row r="584" spans="2:20" x14ac:dyDescent="0.25">
      <c r="B584" t="s">
        <v>882</v>
      </c>
      <c r="H584">
        <v>1</v>
      </c>
      <c r="J584">
        <v>1</v>
      </c>
      <c r="N584">
        <v>2</v>
      </c>
      <c r="O584" s="1">
        <v>2</v>
      </c>
      <c r="P584" s="11">
        <f t="shared" si="45"/>
        <v>0.18181818181818182</v>
      </c>
      <c r="Q584" s="11">
        <f t="shared" si="46"/>
        <v>6.0606060606060606E-3</v>
      </c>
      <c r="R584" s="19">
        <f t="shared" si="47"/>
        <v>1</v>
      </c>
      <c r="S584" s="6">
        <f t="shared" si="48"/>
        <v>1</v>
      </c>
      <c r="T584" s="5">
        <f t="shared" si="49"/>
        <v>1</v>
      </c>
    </row>
    <row r="585" spans="2:20" x14ac:dyDescent="0.25">
      <c r="B585" t="s">
        <v>590</v>
      </c>
      <c r="D585">
        <v>16</v>
      </c>
      <c r="F585">
        <v>1</v>
      </c>
      <c r="G585">
        <v>1</v>
      </c>
      <c r="H585">
        <v>1</v>
      </c>
      <c r="K585">
        <v>1</v>
      </c>
      <c r="L585">
        <v>1</v>
      </c>
      <c r="M585">
        <v>3</v>
      </c>
      <c r="N585">
        <v>24</v>
      </c>
      <c r="O585" s="1">
        <v>24</v>
      </c>
      <c r="P585" s="11">
        <f t="shared" si="45"/>
        <v>2.1818181818181817</v>
      </c>
      <c r="Q585" s="11">
        <f t="shared" si="46"/>
        <v>7.2727272727272724E-2</v>
      </c>
      <c r="R585" s="19">
        <f t="shared" si="47"/>
        <v>3</v>
      </c>
      <c r="S585" s="6">
        <f t="shared" si="48"/>
        <v>1</v>
      </c>
      <c r="T585" s="5">
        <f t="shared" si="49"/>
        <v>1</v>
      </c>
    </row>
    <row r="586" spans="2:20" x14ac:dyDescent="0.25">
      <c r="B586" t="s">
        <v>262</v>
      </c>
      <c r="C586">
        <v>2</v>
      </c>
      <c r="N586">
        <v>2</v>
      </c>
      <c r="O586" s="1">
        <v>2</v>
      </c>
      <c r="P586" s="11">
        <f t="shared" si="45"/>
        <v>0.18181818181818182</v>
      </c>
      <c r="Q586" s="11">
        <f t="shared" si="46"/>
        <v>6.0606060606060606E-3</v>
      </c>
      <c r="R586" s="19">
        <f t="shared" si="47"/>
        <v>1</v>
      </c>
      <c r="S586" s="6">
        <f t="shared" si="48"/>
        <v>1</v>
      </c>
      <c r="T586" s="5">
        <f t="shared" si="49"/>
        <v>1</v>
      </c>
    </row>
    <row r="587" spans="2:20" x14ac:dyDescent="0.25">
      <c r="B587" t="s">
        <v>263</v>
      </c>
      <c r="C587">
        <v>11</v>
      </c>
      <c r="D587">
        <v>11</v>
      </c>
      <c r="E587">
        <v>8</v>
      </c>
      <c r="F587">
        <v>12</v>
      </c>
      <c r="G587">
        <v>5</v>
      </c>
      <c r="H587">
        <v>15</v>
      </c>
      <c r="I587">
        <v>9</v>
      </c>
      <c r="J587">
        <v>8</v>
      </c>
      <c r="K587">
        <v>10</v>
      </c>
      <c r="L587">
        <v>5</v>
      </c>
      <c r="M587">
        <v>12</v>
      </c>
      <c r="N587">
        <v>106</v>
      </c>
      <c r="O587" s="1">
        <v>106</v>
      </c>
      <c r="P587" s="11">
        <f t="shared" si="45"/>
        <v>9.6363636363636367</v>
      </c>
      <c r="Q587" s="11">
        <f t="shared" si="46"/>
        <v>0.32121212121212123</v>
      </c>
      <c r="R587" s="19">
        <f t="shared" si="47"/>
        <v>5</v>
      </c>
      <c r="S587" s="6">
        <f t="shared" si="48"/>
        <v>5</v>
      </c>
      <c r="T587" s="5">
        <f t="shared" si="49"/>
        <v>3</v>
      </c>
    </row>
    <row r="588" spans="2:20" x14ac:dyDescent="0.25">
      <c r="B588" t="s">
        <v>883</v>
      </c>
      <c r="H588">
        <v>1</v>
      </c>
      <c r="J588">
        <v>1</v>
      </c>
      <c r="K588">
        <v>1</v>
      </c>
      <c r="L588">
        <v>1</v>
      </c>
      <c r="M588">
        <v>1</v>
      </c>
      <c r="N588">
        <v>5</v>
      </c>
      <c r="O588" s="1">
        <v>5</v>
      </c>
      <c r="P588" s="11">
        <f t="shared" si="45"/>
        <v>0.45454545454545453</v>
      </c>
      <c r="Q588" s="11">
        <f t="shared" si="46"/>
        <v>1.515151515151515E-2</v>
      </c>
      <c r="R588" s="19">
        <f t="shared" si="47"/>
        <v>1</v>
      </c>
      <c r="S588" s="6">
        <f t="shared" si="48"/>
        <v>1</v>
      </c>
      <c r="T588" s="5">
        <f t="shared" si="49"/>
        <v>1</v>
      </c>
    </row>
    <row r="589" spans="2:20" x14ac:dyDescent="0.25">
      <c r="B589" t="s">
        <v>972</v>
      </c>
      <c r="J589">
        <v>0</v>
      </c>
      <c r="K589">
        <v>1</v>
      </c>
      <c r="L589">
        <v>3</v>
      </c>
      <c r="M589">
        <v>3</v>
      </c>
      <c r="N589">
        <v>7</v>
      </c>
      <c r="O589" s="1">
        <v>7</v>
      </c>
      <c r="P589" s="11">
        <f t="shared" si="45"/>
        <v>0.63636363636363635</v>
      </c>
      <c r="Q589" s="11">
        <f t="shared" si="46"/>
        <v>2.1212121212121213E-2</v>
      </c>
      <c r="R589" s="19">
        <f t="shared" si="47"/>
        <v>1</v>
      </c>
      <c r="S589" s="6">
        <f t="shared" si="48"/>
        <v>1</v>
      </c>
      <c r="T589" s="5">
        <f t="shared" si="49"/>
        <v>1</v>
      </c>
    </row>
    <row r="590" spans="2:20" x14ac:dyDescent="0.25">
      <c r="B590" t="s">
        <v>264</v>
      </c>
      <c r="C590">
        <v>12</v>
      </c>
      <c r="D590">
        <v>7</v>
      </c>
      <c r="E590">
        <v>7</v>
      </c>
      <c r="F590">
        <v>5</v>
      </c>
      <c r="G590">
        <v>9</v>
      </c>
      <c r="H590">
        <v>11</v>
      </c>
      <c r="I590">
        <v>3</v>
      </c>
      <c r="K590">
        <v>2</v>
      </c>
      <c r="L590">
        <v>5</v>
      </c>
      <c r="N590">
        <v>61</v>
      </c>
      <c r="O590" s="1">
        <v>61</v>
      </c>
      <c r="P590" s="11">
        <f t="shared" si="45"/>
        <v>5.5454545454545459</v>
      </c>
      <c r="Q590" s="11">
        <f t="shared" si="46"/>
        <v>0.18484848484848487</v>
      </c>
      <c r="R590" s="19">
        <f t="shared" si="47"/>
        <v>3</v>
      </c>
      <c r="S590" s="6">
        <f t="shared" si="48"/>
        <v>3</v>
      </c>
      <c r="T590" s="5">
        <f t="shared" si="49"/>
        <v>3</v>
      </c>
    </row>
    <row r="591" spans="2:20" x14ac:dyDescent="0.25">
      <c r="B591" t="s">
        <v>265</v>
      </c>
      <c r="P591" s="11">
        <f t="shared" si="45"/>
        <v>0</v>
      </c>
      <c r="Q591" s="11">
        <f t="shared" si="46"/>
        <v>0</v>
      </c>
      <c r="R591" s="19">
        <f t="shared" si="47"/>
        <v>1</v>
      </c>
      <c r="S591" s="6">
        <f t="shared" si="48"/>
        <v>1</v>
      </c>
      <c r="T591" s="7">
        <f t="shared" si="49"/>
        <v>1</v>
      </c>
    </row>
    <row r="592" spans="2:20" x14ac:dyDescent="0.25">
      <c r="B592" t="s">
        <v>266</v>
      </c>
      <c r="C592">
        <v>2</v>
      </c>
      <c r="D592">
        <v>1</v>
      </c>
      <c r="E592">
        <v>6</v>
      </c>
      <c r="G592">
        <v>4</v>
      </c>
      <c r="N592">
        <v>13</v>
      </c>
      <c r="O592" s="1">
        <v>13</v>
      </c>
      <c r="P592" s="11">
        <f t="shared" si="45"/>
        <v>1.1818181818181819</v>
      </c>
      <c r="Q592" s="11">
        <f t="shared" si="46"/>
        <v>3.9393939393939398E-2</v>
      </c>
      <c r="R592" s="19">
        <f t="shared" si="47"/>
        <v>1</v>
      </c>
      <c r="S592" s="6">
        <f t="shared" si="48"/>
        <v>1</v>
      </c>
      <c r="T592" s="5">
        <f t="shared" si="49"/>
        <v>1</v>
      </c>
    </row>
    <row r="593" spans="2:20" x14ac:dyDescent="0.25">
      <c r="B593" t="s">
        <v>688</v>
      </c>
      <c r="E593">
        <v>1</v>
      </c>
      <c r="G593">
        <v>1</v>
      </c>
      <c r="J593">
        <v>1</v>
      </c>
      <c r="N593">
        <v>3</v>
      </c>
      <c r="O593" s="1">
        <v>3</v>
      </c>
      <c r="P593" s="11">
        <f t="shared" si="45"/>
        <v>0.27272727272727271</v>
      </c>
      <c r="Q593" s="11">
        <f t="shared" si="46"/>
        <v>9.0909090909090905E-3</v>
      </c>
      <c r="R593" s="19">
        <f t="shared" si="47"/>
        <v>1</v>
      </c>
      <c r="S593" s="6">
        <f t="shared" si="48"/>
        <v>1</v>
      </c>
      <c r="T593" s="5">
        <f t="shared" si="49"/>
        <v>1</v>
      </c>
    </row>
    <row r="594" spans="2:20" x14ac:dyDescent="0.25">
      <c r="B594" t="s">
        <v>973</v>
      </c>
      <c r="J594">
        <v>1</v>
      </c>
      <c r="K594">
        <v>2</v>
      </c>
      <c r="N594">
        <v>3</v>
      </c>
      <c r="O594" s="1">
        <v>3</v>
      </c>
      <c r="P594" s="11">
        <f t="shared" si="45"/>
        <v>0.27272727272727271</v>
      </c>
      <c r="Q594" s="11">
        <f t="shared" si="46"/>
        <v>9.0909090909090905E-3</v>
      </c>
      <c r="R594" s="19">
        <f t="shared" si="47"/>
        <v>1</v>
      </c>
      <c r="S594" s="6">
        <f t="shared" si="48"/>
        <v>1</v>
      </c>
      <c r="T594" s="5">
        <f t="shared" si="49"/>
        <v>1</v>
      </c>
    </row>
    <row r="595" spans="2:20" x14ac:dyDescent="0.25">
      <c r="B595" t="s">
        <v>777</v>
      </c>
      <c r="F595">
        <v>1</v>
      </c>
      <c r="I595">
        <v>1</v>
      </c>
      <c r="L595">
        <v>3</v>
      </c>
      <c r="N595">
        <v>5</v>
      </c>
      <c r="O595" s="1">
        <v>5</v>
      </c>
      <c r="P595" s="11">
        <f t="shared" si="45"/>
        <v>0.45454545454545453</v>
      </c>
      <c r="Q595" s="11">
        <f t="shared" si="46"/>
        <v>1.515151515151515E-2</v>
      </c>
      <c r="R595" s="19">
        <f t="shared" si="47"/>
        <v>1</v>
      </c>
      <c r="S595" s="6">
        <f t="shared" si="48"/>
        <v>1</v>
      </c>
      <c r="T595" s="5">
        <f t="shared" si="49"/>
        <v>1</v>
      </c>
    </row>
    <row r="596" spans="2:20" x14ac:dyDescent="0.25">
      <c r="B596" t="s">
        <v>267</v>
      </c>
      <c r="C596">
        <v>1</v>
      </c>
      <c r="D596">
        <v>1</v>
      </c>
      <c r="E596">
        <v>2</v>
      </c>
      <c r="F596">
        <v>2</v>
      </c>
      <c r="G596">
        <v>2</v>
      </c>
      <c r="H596">
        <v>1</v>
      </c>
      <c r="I596">
        <v>2</v>
      </c>
      <c r="J596">
        <v>1</v>
      </c>
      <c r="L596">
        <v>1</v>
      </c>
      <c r="M596">
        <v>2</v>
      </c>
      <c r="N596">
        <v>15</v>
      </c>
      <c r="O596" s="1">
        <v>15</v>
      </c>
      <c r="P596" s="11">
        <f t="shared" si="45"/>
        <v>1.3636363636363635</v>
      </c>
      <c r="Q596" s="11">
        <f t="shared" si="46"/>
        <v>4.5454545454545449E-2</v>
      </c>
      <c r="R596" s="19">
        <f t="shared" si="47"/>
        <v>1</v>
      </c>
      <c r="S596" s="6">
        <f t="shared" si="48"/>
        <v>1</v>
      </c>
      <c r="T596" s="5">
        <f t="shared" si="49"/>
        <v>1</v>
      </c>
    </row>
    <row r="597" spans="2:20" x14ac:dyDescent="0.25">
      <c r="B597" t="s">
        <v>591</v>
      </c>
      <c r="D597">
        <v>1</v>
      </c>
      <c r="F597">
        <v>1</v>
      </c>
      <c r="J597">
        <v>2</v>
      </c>
      <c r="K597">
        <v>1</v>
      </c>
      <c r="L597">
        <v>1</v>
      </c>
      <c r="M597">
        <v>2</v>
      </c>
      <c r="N597">
        <v>8</v>
      </c>
      <c r="O597" s="1">
        <v>8</v>
      </c>
      <c r="P597" s="11">
        <f t="shared" si="45"/>
        <v>0.72727272727272729</v>
      </c>
      <c r="Q597" s="11">
        <f t="shared" si="46"/>
        <v>2.4242424242424242E-2</v>
      </c>
      <c r="R597" s="19">
        <f t="shared" si="47"/>
        <v>1</v>
      </c>
      <c r="S597" s="6">
        <f t="shared" si="48"/>
        <v>1</v>
      </c>
      <c r="T597" s="5">
        <f t="shared" si="49"/>
        <v>1</v>
      </c>
    </row>
    <row r="598" spans="2:20" x14ac:dyDescent="0.25">
      <c r="B598" t="s">
        <v>1011</v>
      </c>
      <c r="K598">
        <v>9</v>
      </c>
      <c r="L598">
        <v>16</v>
      </c>
      <c r="N598">
        <v>25</v>
      </c>
      <c r="O598" s="1">
        <v>25</v>
      </c>
      <c r="P598" s="11">
        <f t="shared" si="45"/>
        <v>2.2727272727272729</v>
      </c>
      <c r="Q598" s="11">
        <f t="shared" si="46"/>
        <v>7.575757575757576E-2</v>
      </c>
      <c r="R598" s="19">
        <f t="shared" si="47"/>
        <v>3</v>
      </c>
      <c r="S598" s="6">
        <f t="shared" si="48"/>
        <v>1</v>
      </c>
      <c r="T598" s="5">
        <f t="shared" si="49"/>
        <v>1</v>
      </c>
    </row>
    <row r="599" spans="2:20" x14ac:dyDescent="0.25">
      <c r="B599" t="s">
        <v>268</v>
      </c>
      <c r="C599">
        <v>5</v>
      </c>
      <c r="D599">
        <v>1</v>
      </c>
      <c r="E599">
        <v>6</v>
      </c>
      <c r="F599">
        <v>3</v>
      </c>
      <c r="G599">
        <v>4</v>
      </c>
      <c r="H599">
        <v>2</v>
      </c>
      <c r="I599">
        <v>5</v>
      </c>
      <c r="J599">
        <v>3</v>
      </c>
      <c r="K599">
        <v>1</v>
      </c>
      <c r="L599">
        <v>3</v>
      </c>
      <c r="M599">
        <v>4</v>
      </c>
      <c r="N599">
        <v>37</v>
      </c>
      <c r="O599" s="1">
        <v>37</v>
      </c>
      <c r="P599" s="11">
        <f t="shared" si="45"/>
        <v>3.3636363636363638</v>
      </c>
      <c r="Q599" s="11">
        <f t="shared" si="46"/>
        <v>0.11212121212121212</v>
      </c>
      <c r="R599" s="19">
        <f t="shared" si="47"/>
        <v>3</v>
      </c>
      <c r="S599" s="6">
        <f t="shared" si="48"/>
        <v>3</v>
      </c>
      <c r="T599" s="5">
        <f t="shared" si="49"/>
        <v>1</v>
      </c>
    </row>
    <row r="600" spans="2:20" x14ac:dyDescent="0.25">
      <c r="B600" t="s">
        <v>269</v>
      </c>
      <c r="C600">
        <v>1</v>
      </c>
      <c r="E600">
        <v>1</v>
      </c>
      <c r="H600">
        <v>2</v>
      </c>
      <c r="J600">
        <v>1</v>
      </c>
      <c r="N600">
        <v>5</v>
      </c>
      <c r="O600" s="1">
        <v>5</v>
      </c>
      <c r="P600" s="11">
        <f t="shared" si="45"/>
        <v>0.45454545454545453</v>
      </c>
      <c r="Q600" s="11">
        <f t="shared" si="46"/>
        <v>1.515151515151515E-2</v>
      </c>
      <c r="R600" s="19">
        <f t="shared" si="47"/>
        <v>1</v>
      </c>
      <c r="S600" s="6">
        <f t="shared" si="48"/>
        <v>1</v>
      </c>
      <c r="T600" s="5">
        <f t="shared" si="49"/>
        <v>1</v>
      </c>
    </row>
    <row r="601" spans="2:20" x14ac:dyDescent="0.25">
      <c r="B601" t="s">
        <v>1095</v>
      </c>
      <c r="M601">
        <v>2</v>
      </c>
      <c r="N601">
        <v>2</v>
      </c>
      <c r="O601" s="1">
        <v>2</v>
      </c>
      <c r="P601" s="11">
        <f t="shared" si="45"/>
        <v>0.18181818181818182</v>
      </c>
      <c r="Q601" s="11">
        <f t="shared" si="46"/>
        <v>6.0606060606060606E-3</v>
      </c>
      <c r="R601" s="19">
        <f t="shared" si="47"/>
        <v>1</v>
      </c>
      <c r="S601" s="6">
        <f t="shared" si="48"/>
        <v>1</v>
      </c>
      <c r="T601" s="5">
        <f t="shared" si="49"/>
        <v>1</v>
      </c>
    </row>
    <row r="602" spans="2:20" x14ac:dyDescent="0.25">
      <c r="B602" t="s">
        <v>270</v>
      </c>
      <c r="C602">
        <v>1</v>
      </c>
      <c r="N602">
        <v>1</v>
      </c>
      <c r="O602" s="1">
        <v>1</v>
      </c>
      <c r="P602" s="11">
        <f t="shared" si="45"/>
        <v>9.0909090909090912E-2</v>
      </c>
      <c r="Q602" s="11">
        <f t="shared" si="46"/>
        <v>3.0303030303030303E-3</v>
      </c>
      <c r="R602" s="19">
        <f t="shared" si="47"/>
        <v>1</v>
      </c>
      <c r="S602" s="6">
        <f t="shared" si="48"/>
        <v>1</v>
      </c>
      <c r="T602" s="5">
        <f t="shared" si="49"/>
        <v>1</v>
      </c>
    </row>
    <row r="603" spans="2:20" x14ac:dyDescent="0.25">
      <c r="B603" t="s">
        <v>271</v>
      </c>
      <c r="C603">
        <v>7</v>
      </c>
      <c r="D603">
        <v>5</v>
      </c>
      <c r="E603">
        <v>5</v>
      </c>
      <c r="F603">
        <v>7</v>
      </c>
      <c r="G603">
        <v>3</v>
      </c>
      <c r="H603">
        <v>2</v>
      </c>
      <c r="I603">
        <v>5</v>
      </c>
      <c r="J603">
        <v>1</v>
      </c>
      <c r="K603">
        <v>2</v>
      </c>
      <c r="L603">
        <v>5</v>
      </c>
      <c r="M603">
        <v>4</v>
      </c>
      <c r="N603">
        <v>46</v>
      </c>
      <c r="O603" s="1">
        <v>46</v>
      </c>
      <c r="P603" s="11">
        <f t="shared" si="45"/>
        <v>4.1818181818181817</v>
      </c>
      <c r="Q603" s="11">
        <f t="shared" si="46"/>
        <v>0.13939393939393938</v>
      </c>
      <c r="R603" s="19">
        <f t="shared" si="47"/>
        <v>3</v>
      </c>
      <c r="S603" s="6">
        <f t="shared" si="48"/>
        <v>3</v>
      </c>
      <c r="T603" s="5">
        <f t="shared" si="49"/>
        <v>1</v>
      </c>
    </row>
    <row r="604" spans="2:20" x14ac:dyDescent="0.25">
      <c r="B604" t="s">
        <v>272</v>
      </c>
      <c r="C604">
        <v>4</v>
      </c>
      <c r="D604">
        <v>5</v>
      </c>
      <c r="E604">
        <v>1</v>
      </c>
      <c r="F604">
        <v>6</v>
      </c>
      <c r="G604">
        <v>7</v>
      </c>
      <c r="H604">
        <v>5</v>
      </c>
      <c r="I604">
        <v>2</v>
      </c>
      <c r="J604">
        <v>9</v>
      </c>
      <c r="K604">
        <v>4</v>
      </c>
      <c r="L604">
        <v>4</v>
      </c>
      <c r="M604">
        <v>3</v>
      </c>
      <c r="N604">
        <v>50</v>
      </c>
      <c r="O604" s="1">
        <v>50</v>
      </c>
      <c r="P604" s="11">
        <f t="shared" si="45"/>
        <v>4.5454545454545459</v>
      </c>
      <c r="Q604" s="11">
        <f t="shared" si="46"/>
        <v>0.15151515151515152</v>
      </c>
      <c r="R604" s="19">
        <f t="shared" si="47"/>
        <v>3</v>
      </c>
      <c r="S604" s="6">
        <f t="shared" si="48"/>
        <v>3</v>
      </c>
      <c r="T604" s="5">
        <f t="shared" si="49"/>
        <v>3</v>
      </c>
    </row>
    <row r="605" spans="2:20" x14ac:dyDescent="0.25">
      <c r="B605" t="s">
        <v>689</v>
      </c>
      <c r="E605">
        <v>1</v>
      </c>
      <c r="N605">
        <v>1</v>
      </c>
      <c r="O605" s="1">
        <v>1</v>
      </c>
      <c r="P605" s="11">
        <f t="shared" si="45"/>
        <v>9.0909090909090912E-2</v>
      </c>
      <c r="Q605" s="11">
        <f t="shared" si="46"/>
        <v>3.0303030303030303E-3</v>
      </c>
      <c r="R605" s="19">
        <f t="shared" si="47"/>
        <v>1</v>
      </c>
      <c r="S605" s="6">
        <f t="shared" si="48"/>
        <v>1</v>
      </c>
      <c r="T605" s="5">
        <f t="shared" si="49"/>
        <v>1</v>
      </c>
    </row>
    <row r="606" spans="2:20" x14ac:dyDescent="0.25">
      <c r="B606" t="s">
        <v>273</v>
      </c>
      <c r="C606">
        <v>1</v>
      </c>
      <c r="N606">
        <v>1</v>
      </c>
      <c r="O606" s="1">
        <v>1</v>
      </c>
      <c r="P606" s="11">
        <f t="shared" si="45"/>
        <v>9.0909090909090912E-2</v>
      </c>
      <c r="Q606" s="11">
        <f t="shared" si="46"/>
        <v>3.0303030303030303E-3</v>
      </c>
      <c r="R606" s="19">
        <f t="shared" si="47"/>
        <v>1</v>
      </c>
      <c r="S606" s="6">
        <f t="shared" si="48"/>
        <v>1</v>
      </c>
      <c r="T606" s="5">
        <f t="shared" si="49"/>
        <v>1</v>
      </c>
    </row>
    <row r="607" spans="2:20" x14ac:dyDescent="0.25">
      <c r="B607" t="s">
        <v>274</v>
      </c>
      <c r="C607">
        <v>2</v>
      </c>
      <c r="D607">
        <v>3</v>
      </c>
      <c r="E607">
        <v>3</v>
      </c>
      <c r="G607">
        <v>3</v>
      </c>
      <c r="I607">
        <v>2</v>
      </c>
      <c r="J607">
        <v>3</v>
      </c>
      <c r="K607">
        <v>2</v>
      </c>
      <c r="L607">
        <v>5</v>
      </c>
      <c r="M607">
        <v>2</v>
      </c>
      <c r="N607">
        <v>25</v>
      </c>
      <c r="O607" s="1">
        <v>25</v>
      </c>
      <c r="P607" s="11">
        <f t="shared" si="45"/>
        <v>2.2727272727272729</v>
      </c>
      <c r="Q607" s="11">
        <f t="shared" si="46"/>
        <v>7.575757575757576E-2</v>
      </c>
      <c r="R607" s="19">
        <f t="shared" si="47"/>
        <v>3</v>
      </c>
      <c r="S607" s="6">
        <f t="shared" si="48"/>
        <v>1</v>
      </c>
      <c r="T607" s="5">
        <f t="shared" si="49"/>
        <v>1</v>
      </c>
    </row>
    <row r="608" spans="2:20" x14ac:dyDescent="0.25">
      <c r="B608" t="s">
        <v>275</v>
      </c>
      <c r="C608">
        <v>2</v>
      </c>
      <c r="D608">
        <v>2</v>
      </c>
      <c r="F608">
        <v>1</v>
      </c>
      <c r="G608">
        <v>3</v>
      </c>
      <c r="H608">
        <v>2</v>
      </c>
      <c r="I608">
        <v>1</v>
      </c>
      <c r="K608">
        <v>1</v>
      </c>
      <c r="L608">
        <v>2</v>
      </c>
      <c r="N608">
        <v>14</v>
      </c>
      <c r="O608" s="1">
        <v>14</v>
      </c>
      <c r="P608" s="11">
        <f t="shared" si="45"/>
        <v>1.2727272727272727</v>
      </c>
      <c r="Q608" s="11">
        <f t="shared" si="46"/>
        <v>4.2424242424242427E-2</v>
      </c>
      <c r="R608" s="19">
        <f t="shared" si="47"/>
        <v>1</v>
      </c>
      <c r="S608" s="6">
        <f t="shared" si="48"/>
        <v>1</v>
      </c>
      <c r="T608" s="5">
        <f t="shared" si="49"/>
        <v>1</v>
      </c>
    </row>
    <row r="609" spans="2:20" x14ac:dyDescent="0.25">
      <c r="B609" t="s">
        <v>276</v>
      </c>
      <c r="C609">
        <v>14</v>
      </c>
      <c r="D609">
        <v>4</v>
      </c>
      <c r="F609">
        <v>13</v>
      </c>
      <c r="G609">
        <v>36</v>
      </c>
      <c r="H609">
        <v>4</v>
      </c>
      <c r="I609">
        <v>2</v>
      </c>
      <c r="J609">
        <v>13</v>
      </c>
      <c r="K609">
        <v>11</v>
      </c>
      <c r="L609">
        <v>8</v>
      </c>
      <c r="M609">
        <v>5</v>
      </c>
      <c r="N609">
        <v>110</v>
      </c>
      <c r="O609" s="1">
        <v>110</v>
      </c>
      <c r="P609" s="11">
        <f t="shared" si="45"/>
        <v>10</v>
      </c>
      <c r="Q609" s="11">
        <f t="shared" si="46"/>
        <v>0.33333333333333331</v>
      </c>
      <c r="R609" s="19">
        <f t="shared" si="47"/>
        <v>5</v>
      </c>
      <c r="S609" s="6">
        <f t="shared" si="48"/>
        <v>5</v>
      </c>
      <c r="T609" s="5">
        <f t="shared" si="49"/>
        <v>3</v>
      </c>
    </row>
    <row r="610" spans="2:20" x14ac:dyDescent="0.25">
      <c r="B610" t="s">
        <v>277</v>
      </c>
      <c r="C610">
        <v>1</v>
      </c>
      <c r="E610">
        <v>1</v>
      </c>
      <c r="F610">
        <v>3</v>
      </c>
      <c r="I610">
        <v>1</v>
      </c>
      <c r="J610">
        <v>1</v>
      </c>
      <c r="L610">
        <v>3</v>
      </c>
      <c r="N610">
        <v>10</v>
      </c>
      <c r="O610" s="1">
        <v>10</v>
      </c>
      <c r="P610" s="11">
        <f t="shared" si="45"/>
        <v>0.90909090909090906</v>
      </c>
      <c r="Q610" s="11">
        <f t="shared" si="46"/>
        <v>3.03030303030303E-2</v>
      </c>
      <c r="R610" s="19">
        <f t="shared" si="47"/>
        <v>1</v>
      </c>
      <c r="S610" s="6">
        <f t="shared" si="48"/>
        <v>1</v>
      </c>
      <c r="T610" s="5">
        <f t="shared" si="49"/>
        <v>1</v>
      </c>
    </row>
    <row r="611" spans="2:20" x14ac:dyDescent="0.25">
      <c r="B611" t="s">
        <v>835</v>
      </c>
      <c r="G611">
        <v>2</v>
      </c>
      <c r="H611">
        <v>1</v>
      </c>
      <c r="L611">
        <v>2</v>
      </c>
      <c r="N611">
        <v>5</v>
      </c>
      <c r="O611" s="1">
        <v>5</v>
      </c>
      <c r="P611" s="11">
        <f t="shared" si="45"/>
        <v>0.45454545454545453</v>
      </c>
      <c r="Q611" s="11">
        <f t="shared" si="46"/>
        <v>1.515151515151515E-2</v>
      </c>
      <c r="R611" s="19">
        <f t="shared" si="47"/>
        <v>1</v>
      </c>
      <c r="S611" s="6">
        <f t="shared" si="48"/>
        <v>1</v>
      </c>
      <c r="T611" s="5">
        <f t="shared" si="49"/>
        <v>1</v>
      </c>
    </row>
    <row r="612" spans="2:20" x14ac:dyDescent="0.25">
      <c r="B612" t="s">
        <v>592</v>
      </c>
      <c r="D612">
        <v>1</v>
      </c>
      <c r="E612">
        <v>1</v>
      </c>
      <c r="I612">
        <v>2</v>
      </c>
      <c r="J612">
        <v>3</v>
      </c>
      <c r="M612">
        <v>2</v>
      </c>
      <c r="N612">
        <v>9</v>
      </c>
      <c r="O612" s="1">
        <v>9</v>
      </c>
      <c r="P612" s="11">
        <f t="shared" si="45"/>
        <v>0.81818181818181823</v>
      </c>
      <c r="Q612" s="11">
        <f t="shared" si="46"/>
        <v>2.7272727272727275E-2</v>
      </c>
      <c r="R612" s="19">
        <f t="shared" si="47"/>
        <v>1</v>
      </c>
      <c r="S612" s="6">
        <f t="shared" si="48"/>
        <v>1</v>
      </c>
      <c r="T612" s="5">
        <f t="shared" si="49"/>
        <v>1</v>
      </c>
    </row>
    <row r="613" spans="2:20" x14ac:dyDescent="0.25">
      <c r="B613" t="s">
        <v>884</v>
      </c>
      <c r="H613">
        <v>1</v>
      </c>
      <c r="I613">
        <v>1</v>
      </c>
      <c r="N613">
        <v>2</v>
      </c>
      <c r="O613" s="1">
        <v>2</v>
      </c>
      <c r="P613" s="11">
        <f t="shared" si="45"/>
        <v>0.18181818181818182</v>
      </c>
      <c r="Q613" s="11">
        <f t="shared" si="46"/>
        <v>6.0606060606060606E-3</v>
      </c>
      <c r="R613" s="19">
        <f t="shared" si="47"/>
        <v>1</v>
      </c>
      <c r="S613" s="6">
        <f t="shared" si="48"/>
        <v>1</v>
      </c>
      <c r="T613" s="5">
        <f t="shared" si="49"/>
        <v>1</v>
      </c>
    </row>
    <row r="614" spans="2:20" x14ac:dyDescent="0.25">
      <c r="B614" t="s">
        <v>593</v>
      </c>
      <c r="D614">
        <v>1</v>
      </c>
      <c r="E614">
        <v>2</v>
      </c>
      <c r="F614">
        <v>1</v>
      </c>
      <c r="G614">
        <v>1</v>
      </c>
      <c r="L614">
        <v>1</v>
      </c>
      <c r="N614">
        <v>6</v>
      </c>
      <c r="O614" s="1">
        <v>6</v>
      </c>
      <c r="P614" s="11">
        <f t="shared" si="45"/>
        <v>0.54545454545454541</v>
      </c>
      <c r="Q614" s="11">
        <f t="shared" si="46"/>
        <v>1.8181818181818181E-2</v>
      </c>
      <c r="R614" s="19">
        <f t="shared" si="47"/>
        <v>1</v>
      </c>
      <c r="S614" s="6">
        <f t="shared" si="48"/>
        <v>1</v>
      </c>
      <c r="T614" s="5">
        <f t="shared" si="49"/>
        <v>1</v>
      </c>
    </row>
    <row r="615" spans="2:20" x14ac:dyDescent="0.25">
      <c r="B615" t="s">
        <v>278</v>
      </c>
      <c r="P615" s="11">
        <f t="shared" si="45"/>
        <v>0</v>
      </c>
      <c r="Q615" s="11">
        <f t="shared" si="46"/>
        <v>0</v>
      </c>
      <c r="R615" s="19">
        <f t="shared" si="47"/>
        <v>1</v>
      </c>
      <c r="S615" s="6">
        <f t="shared" si="48"/>
        <v>1</v>
      </c>
      <c r="T615" s="5">
        <f t="shared" si="49"/>
        <v>1</v>
      </c>
    </row>
    <row r="616" spans="2:20" x14ac:dyDescent="0.25">
      <c r="B616" t="s">
        <v>594</v>
      </c>
      <c r="D616">
        <v>1</v>
      </c>
      <c r="N616">
        <v>1</v>
      </c>
      <c r="O616" s="1">
        <v>1</v>
      </c>
      <c r="P616" s="11">
        <f t="shared" si="45"/>
        <v>9.0909090909090912E-2</v>
      </c>
      <c r="Q616" s="11">
        <f t="shared" si="46"/>
        <v>3.0303030303030303E-3</v>
      </c>
      <c r="R616" s="19">
        <f t="shared" si="47"/>
        <v>1</v>
      </c>
      <c r="S616" s="6">
        <f t="shared" si="48"/>
        <v>1</v>
      </c>
      <c r="T616" s="5">
        <f t="shared" si="49"/>
        <v>1</v>
      </c>
    </row>
    <row r="617" spans="2:20" x14ac:dyDescent="0.25">
      <c r="B617" t="s">
        <v>595</v>
      </c>
      <c r="D617">
        <v>1</v>
      </c>
      <c r="F617">
        <v>1</v>
      </c>
      <c r="N617">
        <v>2</v>
      </c>
      <c r="O617" s="1">
        <v>2</v>
      </c>
      <c r="P617" s="11">
        <f t="shared" si="45"/>
        <v>0.18181818181818182</v>
      </c>
      <c r="Q617" s="11">
        <f t="shared" si="46"/>
        <v>6.0606060606060606E-3</v>
      </c>
      <c r="R617" s="19">
        <f t="shared" si="47"/>
        <v>1</v>
      </c>
      <c r="S617" s="6">
        <f t="shared" si="48"/>
        <v>1</v>
      </c>
      <c r="T617" s="5">
        <f t="shared" si="49"/>
        <v>1</v>
      </c>
    </row>
    <row r="618" spans="2:20" x14ac:dyDescent="0.25">
      <c r="B618" t="s">
        <v>690</v>
      </c>
      <c r="E618">
        <v>2</v>
      </c>
      <c r="J618">
        <v>1</v>
      </c>
      <c r="L618">
        <v>1</v>
      </c>
      <c r="N618">
        <v>4</v>
      </c>
      <c r="O618" s="1">
        <v>4</v>
      </c>
      <c r="P618" s="11">
        <f t="shared" si="45"/>
        <v>0.36363636363636365</v>
      </c>
      <c r="Q618" s="11">
        <f t="shared" si="46"/>
        <v>1.2121212121212121E-2</v>
      </c>
      <c r="R618" s="19">
        <f t="shared" si="47"/>
        <v>1</v>
      </c>
      <c r="S618" s="6">
        <f t="shared" si="48"/>
        <v>1</v>
      </c>
      <c r="T618" s="5">
        <f t="shared" si="49"/>
        <v>1</v>
      </c>
    </row>
    <row r="619" spans="2:20" x14ac:dyDescent="0.25">
      <c r="B619" t="s">
        <v>279</v>
      </c>
      <c r="C619">
        <v>7</v>
      </c>
      <c r="D619">
        <v>12</v>
      </c>
      <c r="E619">
        <v>2</v>
      </c>
      <c r="F619">
        <v>3</v>
      </c>
      <c r="G619">
        <v>2</v>
      </c>
      <c r="H619">
        <v>7</v>
      </c>
      <c r="I619">
        <v>7</v>
      </c>
      <c r="J619">
        <v>2</v>
      </c>
      <c r="K619">
        <v>9</v>
      </c>
      <c r="L619">
        <v>8</v>
      </c>
      <c r="M619">
        <v>9</v>
      </c>
      <c r="N619">
        <v>68</v>
      </c>
      <c r="O619" s="1">
        <v>68</v>
      </c>
      <c r="P619" s="11">
        <f t="shared" si="45"/>
        <v>6.1818181818181817</v>
      </c>
      <c r="Q619" s="11">
        <f t="shared" si="46"/>
        <v>0.20606060606060606</v>
      </c>
      <c r="R619" s="19">
        <f t="shared" si="47"/>
        <v>3</v>
      </c>
      <c r="S619" s="6">
        <f t="shared" si="48"/>
        <v>3</v>
      </c>
      <c r="T619" s="5">
        <f t="shared" si="49"/>
        <v>3</v>
      </c>
    </row>
    <row r="620" spans="2:20" x14ac:dyDescent="0.25">
      <c r="B620" t="s">
        <v>280</v>
      </c>
      <c r="C620">
        <v>1</v>
      </c>
      <c r="N620">
        <v>1</v>
      </c>
      <c r="O620" s="1">
        <v>1</v>
      </c>
      <c r="P620" s="11">
        <f t="shared" si="45"/>
        <v>9.0909090909090912E-2</v>
      </c>
      <c r="Q620" s="11">
        <f t="shared" si="46"/>
        <v>3.0303030303030303E-3</v>
      </c>
      <c r="R620" s="19">
        <f t="shared" si="47"/>
        <v>1</v>
      </c>
      <c r="S620" s="6">
        <f t="shared" si="48"/>
        <v>1</v>
      </c>
      <c r="T620" s="5">
        <f t="shared" si="49"/>
        <v>1</v>
      </c>
    </row>
    <row r="621" spans="2:20" x14ac:dyDescent="0.25">
      <c r="B621" t="s">
        <v>778</v>
      </c>
      <c r="F621">
        <v>1</v>
      </c>
      <c r="I621">
        <v>1</v>
      </c>
      <c r="N621">
        <v>2</v>
      </c>
      <c r="O621" s="1">
        <v>2</v>
      </c>
      <c r="P621" s="11">
        <f t="shared" si="45"/>
        <v>0.18181818181818182</v>
      </c>
      <c r="Q621" s="11">
        <f t="shared" si="46"/>
        <v>6.0606060606060606E-3</v>
      </c>
      <c r="R621" s="19">
        <f t="shared" si="47"/>
        <v>1</v>
      </c>
      <c r="S621" s="6">
        <f t="shared" si="48"/>
        <v>1</v>
      </c>
      <c r="T621" s="5">
        <f t="shared" si="49"/>
        <v>1</v>
      </c>
    </row>
    <row r="622" spans="2:20" x14ac:dyDescent="0.25">
      <c r="B622" t="s">
        <v>281</v>
      </c>
      <c r="C622">
        <v>9</v>
      </c>
      <c r="D622">
        <v>9</v>
      </c>
      <c r="E622">
        <v>6</v>
      </c>
      <c r="F622">
        <v>5</v>
      </c>
      <c r="G622">
        <v>12</v>
      </c>
      <c r="H622">
        <v>6</v>
      </c>
      <c r="I622">
        <v>4</v>
      </c>
      <c r="J622">
        <v>6</v>
      </c>
      <c r="K622">
        <v>1</v>
      </c>
      <c r="M622">
        <v>4</v>
      </c>
      <c r="N622">
        <v>62</v>
      </c>
      <c r="O622" s="1">
        <v>62</v>
      </c>
      <c r="P622" s="11">
        <f t="shared" si="45"/>
        <v>5.6363636363636367</v>
      </c>
      <c r="Q622" s="11">
        <f t="shared" si="46"/>
        <v>0.1878787878787879</v>
      </c>
      <c r="R622" s="19">
        <f t="shared" si="47"/>
        <v>3</v>
      </c>
      <c r="S622" s="6">
        <f t="shared" si="48"/>
        <v>3</v>
      </c>
      <c r="T622" s="5">
        <f t="shared" si="49"/>
        <v>3</v>
      </c>
    </row>
    <row r="623" spans="2:20" x14ac:dyDescent="0.25">
      <c r="B623" t="s">
        <v>1012</v>
      </c>
      <c r="K623">
        <v>1</v>
      </c>
      <c r="L623">
        <v>5</v>
      </c>
      <c r="M623">
        <v>3</v>
      </c>
      <c r="N623">
        <v>9</v>
      </c>
      <c r="O623" s="1">
        <v>9</v>
      </c>
      <c r="P623" s="11">
        <f t="shared" si="45"/>
        <v>0.81818181818181823</v>
      </c>
      <c r="Q623" s="11">
        <f t="shared" si="46"/>
        <v>2.7272727272727275E-2</v>
      </c>
      <c r="R623" s="19">
        <f t="shared" si="47"/>
        <v>1</v>
      </c>
      <c r="S623" s="6">
        <f t="shared" si="48"/>
        <v>1</v>
      </c>
      <c r="T623" s="5">
        <f t="shared" si="49"/>
        <v>1</v>
      </c>
    </row>
    <row r="624" spans="2:20" x14ac:dyDescent="0.25">
      <c r="B624" t="s">
        <v>282</v>
      </c>
      <c r="C624">
        <v>14</v>
      </c>
      <c r="D624">
        <v>6</v>
      </c>
      <c r="E624">
        <v>13</v>
      </c>
      <c r="F624">
        <v>6</v>
      </c>
      <c r="G624">
        <v>9</v>
      </c>
      <c r="H624">
        <v>13</v>
      </c>
      <c r="I624">
        <v>6</v>
      </c>
      <c r="J624">
        <v>11</v>
      </c>
      <c r="K624">
        <v>21</v>
      </c>
      <c r="L624">
        <v>8</v>
      </c>
      <c r="M624">
        <v>14</v>
      </c>
      <c r="N624">
        <v>121</v>
      </c>
      <c r="O624" s="1">
        <v>121</v>
      </c>
      <c r="P624" s="11">
        <f t="shared" si="45"/>
        <v>11</v>
      </c>
      <c r="Q624" s="11">
        <f t="shared" si="46"/>
        <v>0.36666666666666664</v>
      </c>
      <c r="R624" s="19">
        <f t="shared" si="47"/>
        <v>7</v>
      </c>
      <c r="S624" s="6">
        <f t="shared" si="48"/>
        <v>5</v>
      </c>
      <c r="T624" s="5">
        <f t="shared" si="49"/>
        <v>3</v>
      </c>
    </row>
    <row r="625" spans="2:20" x14ac:dyDescent="0.25">
      <c r="B625" t="s">
        <v>283</v>
      </c>
      <c r="C625">
        <v>2</v>
      </c>
      <c r="E625">
        <v>2</v>
      </c>
      <c r="G625">
        <v>2</v>
      </c>
      <c r="H625">
        <v>1</v>
      </c>
      <c r="I625">
        <v>2</v>
      </c>
      <c r="L625">
        <v>2</v>
      </c>
      <c r="N625">
        <v>11</v>
      </c>
      <c r="O625" s="1">
        <v>11</v>
      </c>
      <c r="P625" s="11">
        <f t="shared" si="45"/>
        <v>1</v>
      </c>
      <c r="Q625" s="11">
        <f t="shared" si="46"/>
        <v>3.3333333333333333E-2</v>
      </c>
      <c r="R625" s="19">
        <f t="shared" si="47"/>
        <v>1</v>
      </c>
      <c r="S625" s="6">
        <f t="shared" si="48"/>
        <v>1</v>
      </c>
      <c r="T625" s="5">
        <f t="shared" si="49"/>
        <v>1</v>
      </c>
    </row>
    <row r="626" spans="2:20" x14ac:dyDescent="0.25">
      <c r="B626" t="s">
        <v>885</v>
      </c>
      <c r="H626">
        <v>1</v>
      </c>
      <c r="N626">
        <v>1</v>
      </c>
      <c r="O626" s="1">
        <v>1</v>
      </c>
      <c r="P626" s="11">
        <f t="shared" si="45"/>
        <v>9.0909090909090912E-2</v>
      </c>
      <c r="Q626" s="11">
        <f t="shared" si="46"/>
        <v>3.0303030303030303E-3</v>
      </c>
      <c r="R626" s="19">
        <f t="shared" si="47"/>
        <v>1</v>
      </c>
      <c r="S626" s="6">
        <f t="shared" si="48"/>
        <v>1</v>
      </c>
      <c r="T626" s="5">
        <f t="shared" si="49"/>
        <v>1</v>
      </c>
    </row>
    <row r="627" spans="2:20" x14ac:dyDescent="0.25">
      <c r="B627" t="s">
        <v>284</v>
      </c>
      <c r="C627">
        <v>2</v>
      </c>
      <c r="D627">
        <v>2</v>
      </c>
      <c r="F627">
        <v>1</v>
      </c>
      <c r="G627">
        <v>1</v>
      </c>
      <c r="H627">
        <v>2</v>
      </c>
      <c r="J627">
        <v>2</v>
      </c>
      <c r="K627">
        <v>0</v>
      </c>
      <c r="N627">
        <v>10</v>
      </c>
      <c r="O627" s="1">
        <v>10</v>
      </c>
      <c r="P627" s="11">
        <f t="shared" si="45"/>
        <v>0.90909090909090906</v>
      </c>
      <c r="Q627" s="11">
        <f t="shared" si="46"/>
        <v>3.03030303030303E-2</v>
      </c>
      <c r="R627" s="19">
        <f t="shared" si="47"/>
        <v>1</v>
      </c>
      <c r="S627" s="6">
        <f t="shared" si="48"/>
        <v>1</v>
      </c>
      <c r="T627" s="5">
        <f t="shared" si="49"/>
        <v>1</v>
      </c>
    </row>
    <row r="628" spans="2:20" x14ac:dyDescent="0.25">
      <c r="B628" t="s">
        <v>691</v>
      </c>
      <c r="E628">
        <v>1</v>
      </c>
      <c r="N628">
        <v>1</v>
      </c>
      <c r="O628" s="1">
        <v>1</v>
      </c>
      <c r="P628" s="11">
        <f t="shared" si="45"/>
        <v>9.0909090909090912E-2</v>
      </c>
      <c r="Q628" s="11">
        <f t="shared" si="46"/>
        <v>3.0303030303030303E-3</v>
      </c>
      <c r="R628" s="19">
        <f t="shared" si="47"/>
        <v>1</v>
      </c>
      <c r="S628" s="6">
        <f t="shared" si="48"/>
        <v>1</v>
      </c>
      <c r="T628" s="5">
        <f t="shared" si="49"/>
        <v>1</v>
      </c>
    </row>
    <row r="629" spans="2:20" x14ac:dyDescent="0.25">
      <c r="B629" t="s">
        <v>692</v>
      </c>
      <c r="E629">
        <v>1</v>
      </c>
      <c r="N629">
        <v>1</v>
      </c>
      <c r="O629" s="1">
        <v>1</v>
      </c>
      <c r="P629" s="11">
        <f t="shared" si="45"/>
        <v>9.0909090909090912E-2</v>
      </c>
      <c r="Q629" s="11">
        <f t="shared" si="46"/>
        <v>3.0303030303030303E-3</v>
      </c>
      <c r="R629" s="19">
        <f t="shared" si="47"/>
        <v>1</v>
      </c>
      <c r="S629" s="6">
        <f t="shared" si="48"/>
        <v>1</v>
      </c>
      <c r="T629" s="5">
        <f t="shared" si="49"/>
        <v>1</v>
      </c>
    </row>
    <row r="630" spans="2:20" x14ac:dyDescent="0.25">
      <c r="B630" t="s">
        <v>285</v>
      </c>
      <c r="C630">
        <v>1</v>
      </c>
      <c r="D630">
        <v>1</v>
      </c>
      <c r="E630">
        <v>1</v>
      </c>
      <c r="G630">
        <v>2</v>
      </c>
      <c r="H630">
        <v>2</v>
      </c>
      <c r="I630">
        <v>1</v>
      </c>
      <c r="K630">
        <v>3</v>
      </c>
      <c r="L630">
        <v>3</v>
      </c>
      <c r="M630">
        <v>8</v>
      </c>
      <c r="N630">
        <v>22</v>
      </c>
      <c r="O630" s="1">
        <v>22</v>
      </c>
      <c r="P630" s="11">
        <f t="shared" si="45"/>
        <v>2</v>
      </c>
      <c r="Q630" s="11">
        <f t="shared" si="46"/>
        <v>6.6666666666666666E-2</v>
      </c>
      <c r="R630" s="19">
        <f t="shared" si="47"/>
        <v>1</v>
      </c>
      <c r="S630" s="6">
        <f t="shared" si="48"/>
        <v>1</v>
      </c>
      <c r="T630" s="5">
        <f t="shared" si="49"/>
        <v>1</v>
      </c>
    </row>
    <row r="631" spans="2:20" x14ac:dyDescent="0.25">
      <c r="B631" t="s">
        <v>693</v>
      </c>
      <c r="E631">
        <v>1</v>
      </c>
      <c r="N631">
        <v>1</v>
      </c>
      <c r="O631" s="1">
        <v>1</v>
      </c>
      <c r="P631" s="11">
        <f t="shared" si="45"/>
        <v>9.0909090909090912E-2</v>
      </c>
      <c r="Q631" s="11">
        <f t="shared" si="46"/>
        <v>3.0303030303030303E-3</v>
      </c>
      <c r="R631" s="19">
        <f t="shared" si="47"/>
        <v>1</v>
      </c>
      <c r="S631" s="6">
        <f t="shared" si="48"/>
        <v>1</v>
      </c>
      <c r="T631" s="5">
        <f t="shared" si="49"/>
        <v>1</v>
      </c>
    </row>
    <row r="632" spans="2:20" x14ac:dyDescent="0.25">
      <c r="B632" t="s">
        <v>935</v>
      </c>
      <c r="I632">
        <v>1</v>
      </c>
      <c r="N632">
        <v>1</v>
      </c>
      <c r="O632" s="1">
        <v>1</v>
      </c>
      <c r="P632" s="11">
        <f t="shared" si="45"/>
        <v>9.0909090909090912E-2</v>
      </c>
      <c r="Q632" s="11">
        <f t="shared" si="46"/>
        <v>3.0303030303030303E-3</v>
      </c>
      <c r="R632" s="19">
        <f t="shared" si="47"/>
        <v>1</v>
      </c>
      <c r="S632" s="6">
        <f t="shared" si="48"/>
        <v>1</v>
      </c>
      <c r="T632" s="5">
        <f t="shared" si="49"/>
        <v>1</v>
      </c>
    </row>
    <row r="633" spans="2:20" x14ac:dyDescent="0.25">
      <c r="B633" t="s">
        <v>779</v>
      </c>
      <c r="F633">
        <v>2</v>
      </c>
      <c r="H633">
        <v>2</v>
      </c>
      <c r="J633">
        <v>1</v>
      </c>
      <c r="M633">
        <v>1</v>
      </c>
      <c r="N633">
        <v>6</v>
      </c>
      <c r="O633" s="1">
        <v>6</v>
      </c>
      <c r="P633" s="11">
        <f t="shared" si="45"/>
        <v>0.54545454545454541</v>
      </c>
      <c r="Q633" s="11">
        <f t="shared" si="46"/>
        <v>1.8181818181818181E-2</v>
      </c>
      <c r="R633" s="19">
        <f t="shared" si="47"/>
        <v>1</v>
      </c>
      <c r="S633" s="6">
        <f t="shared" si="48"/>
        <v>1</v>
      </c>
      <c r="T633" s="5">
        <f t="shared" si="49"/>
        <v>1</v>
      </c>
    </row>
    <row r="634" spans="2:20" x14ac:dyDescent="0.25">
      <c r="B634" t="s">
        <v>936</v>
      </c>
      <c r="I634">
        <v>1</v>
      </c>
      <c r="N634">
        <v>1</v>
      </c>
      <c r="O634" s="1">
        <v>1</v>
      </c>
      <c r="P634" s="11">
        <f t="shared" si="45"/>
        <v>9.0909090909090912E-2</v>
      </c>
      <c r="Q634" s="11">
        <f t="shared" si="46"/>
        <v>3.0303030303030303E-3</v>
      </c>
      <c r="R634" s="19">
        <f t="shared" si="47"/>
        <v>1</v>
      </c>
      <c r="S634" s="6">
        <f t="shared" si="48"/>
        <v>1</v>
      </c>
      <c r="T634" s="5">
        <f t="shared" si="49"/>
        <v>1</v>
      </c>
    </row>
    <row r="635" spans="2:20" x14ac:dyDescent="0.25">
      <c r="B635" t="s">
        <v>596</v>
      </c>
      <c r="D635">
        <v>0</v>
      </c>
      <c r="H635">
        <v>1</v>
      </c>
      <c r="K635">
        <v>2</v>
      </c>
      <c r="L635">
        <v>1</v>
      </c>
      <c r="M635">
        <v>3</v>
      </c>
      <c r="N635">
        <v>7</v>
      </c>
      <c r="O635" s="1">
        <v>7</v>
      </c>
      <c r="P635" s="11">
        <f t="shared" si="45"/>
        <v>0.63636363636363635</v>
      </c>
      <c r="Q635" s="11">
        <f t="shared" si="46"/>
        <v>2.1212121212121213E-2</v>
      </c>
      <c r="R635" s="19">
        <f t="shared" si="47"/>
        <v>1</v>
      </c>
      <c r="S635" s="6">
        <f t="shared" si="48"/>
        <v>1</v>
      </c>
      <c r="T635" s="5">
        <f t="shared" si="49"/>
        <v>1</v>
      </c>
    </row>
    <row r="636" spans="2:20" x14ac:dyDescent="0.25">
      <c r="B636" t="s">
        <v>286</v>
      </c>
      <c r="C636">
        <v>16</v>
      </c>
      <c r="D636">
        <v>10</v>
      </c>
      <c r="E636">
        <v>5</v>
      </c>
      <c r="F636">
        <v>3</v>
      </c>
      <c r="G636">
        <v>5</v>
      </c>
      <c r="H636">
        <v>6</v>
      </c>
      <c r="I636">
        <v>4</v>
      </c>
      <c r="J636">
        <v>2</v>
      </c>
      <c r="K636">
        <v>2</v>
      </c>
      <c r="L636">
        <v>8</v>
      </c>
      <c r="M636">
        <v>5</v>
      </c>
      <c r="N636">
        <v>66</v>
      </c>
      <c r="O636" s="1">
        <v>66</v>
      </c>
      <c r="P636" s="11">
        <f t="shared" si="45"/>
        <v>6</v>
      </c>
      <c r="Q636" s="11">
        <f t="shared" si="46"/>
        <v>0.2</v>
      </c>
      <c r="R636" s="19">
        <f t="shared" si="47"/>
        <v>3</v>
      </c>
      <c r="S636" s="6">
        <f t="shared" si="48"/>
        <v>3</v>
      </c>
      <c r="T636" s="5">
        <f t="shared" si="49"/>
        <v>3</v>
      </c>
    </row>
    <row r="637" spans="2:20" x14ac:dyDescent="0.25">
      <c r="B637" t="s">
        <v>597</v>
      </c>
      <c r="D637">
        <v>1</v>
      </c>
      <c r="G637">
        <v>1</v>
      </c>
      <c r="N637">
        <v>2</v>
      </c>
      <c r="O637" s="1">
        <v>2</v>
      </c>
      <c r="P637" s="11">
        <f t="shared" si="45"/>
        <v>0.18181818181818182</v>
      </c>
      <c r="Q637" s="11">
        <f t="shared" si="46"/>
        <v>6.0606060606060606E-3</v>
      </c>
      <c r="R637" s="19">
        <f t="shared" si="47"/>
        <v>1</v>
      </c>
      <c r="S637" s="6">
        <f t="shared" si="48"/>
        <v>1</v>
      </c>
      <c r="T637" s="5">
        <f t="shared" si="49"/>
        <v>1</v>
      </c>
    </row>
    <row r="638" spans="2:20" x14ac:dyDescent="0.25">
      <c r="B638" t="s">
        <v>937</v>
      </c>
      <c r="I638">
        <v>1</v>
      </c>
      <c r="N638">
        <v>1</v>
      </c>
      <c r="O638" s="1">
        <v>1</v>
      </c>
      <c r="P638" s="11">
        <f t="shared" si="45"/>
        <v>9.0909090909090912E-2</v>
      </c>
      <c r="Q638" s="11">
        <f t="shared" si="46"/>
        <v>3.0303030303030303E-3</v>
      </c>
      <c r="R638" s="19">
        <f t="shared" si="47"/>
        <v>1</v>
      </c>
      <c r="S638" s="6">
        <f t="shared" si="48"/>
        <v>1</v>
      </c>
      <c r="T638" s="5">
        <f t="shared" si="49"/>
        <v>1</v>
      </c>
    </row>
    <row r="639" spans="2:20" x14ac:dyDescent="0.25">
      <c r="B639" t="s">
        <v>1013</v>
      </c>
      <c r="K639">
        <v>1</v>
      </c>
      <c r="L639">
        <v>2</v>
      </c>
      <c r="M639">
        <v>2</v>
      </c>
      <c r="N639">
        <v>5</v>
      </c>
      <c r="O639" s="1">
        <v>5</v>
      </c>
      <c r="P639" s="11">
        <f t="shared" si="45"/>
        <v>0.45454545454545453</v>
      </c>
      <c r="Q639" s="11">
        <f t="shared" si="46"/>
        <v>1.515151515151515E-2</v>
      </c>
      <c r="R639" s="19">
        <f t="shared" si="47"/>
        <v>1</v>
      </c>
      <c r="S639" s="6">
        <f t="shared" si="48"/>
        <v>1</v>
      </c>
      <c r="T639" s="5">
        <f t="shared" si="49"/>
        <v>1</v>
      </c>
    </row>
    <row r="640" spans="2:20" x14ac:dyDescent="0.25">
      <c r="B640" t="s">
        <v>598</v>
      </c>
      <c r="D640">
        <v>3</v>
      </c>
      <c r="G640">
        <v>4</v>
      </c>
      <c r="I640">
        <v>2</v>
      </c>
      <c r="N640">
        <v>9</v>
      </c>
      <c r="O640" s="1">
        <v>9</v>
      </c>
      <c r="P640" s="11">
        <f t="shared" si="45"/>
        <v>0.81818181818181823</v>
      </c>
      <c r="Q640" s="11">
        <f t="shared" si="46"/>
        <v>2.7272727272727275E-2</v>
      </c>
      <c r="R640" s="19">
        <f t="shared" si="47"/>
        <v>1</v>
      </c>
      <c r="S640" s="6">
        <f t="shared" si="48"/>
        <v>1</v>
      </c>
      <c r="T640" s="5">
        <f t="shared" si="49"/>
        <v>1</v>
      </c>
    </row>
    <row r="641" spans="2:20" x14ac:dyDescent="0.25">
      <c r="B641" t="s">
        <v>287</v>
      </c>
      <c r="C641">
        <v>1</v>
      </c>
      <c r="D641">
        <v>1</v>
      </c>
      <c r="N641">
        <v>2</v>
      </c>
      <c r="O641" s="1">
        <v>2</v>
      </c>
      <c r="P641" s="11">
        <f t="shared" si="45"/>
        <v>0.18181818181818182</v>
      </c>
      <c r="Q641" s="11">
        <f t="shared" si="46"/>
        <v>6.0606060606060606E-3</v>
      </c>
      <c r="R641" s="19">
        <f t="shared" si="47"/>
        <v>1</v>
      </c>
      <c r="S641" s="6">
        <f t="shared" si="48"/>
        <v>1</v>
      </c>
      <c r="T641" s="5">
        <f t="shared" si="49"/>
        <v>1</v>
      </c>
    </row>
    <row r="642" spans="2:20" x14ac:dyDescent="0.25">
      <c r="B642" t="s">
        <v>780</v>
      </c>
      <c r="F642">
        <v>1</v>
      </c>
      <c r="N642">
        <v>1</v>
      </c>
      <c r="O642" s="1">
        <v>1</v>
      </c>
      <c r="P642" s="11">
        <f t="shared" si="45"/>
        <v>9.0909090909090912E-2</v>
      </c>
      <c r="Q642" s="11">
        <f t="shared" si="46"/>
        <v>3.0303030303030303E-3</v>
      </c>
      <c r="R642" s="19">
        <f t="shared" si="47"/>
        <v>1</v>
      </c>
      <c r="S642" s="6">
        <f t="shared" si="48"/>
        <v>1</v>
      </c>
      <c r="T642" s="5">
        <f t="shared" si="49"/>
        <v>1</v>
      </c>
    </row>
    <row r="643" spans="2:20" x14ac:dyDescent="0.25">
      <c r="B643" t="s">
        <v>938</v>
      </c>
      <c r="I643">
        <v>1</v>
      </c>
      <c r="N643">
        <v>1</v>
      </c>
      <c r="O643" s="1">
        <v>1</v>
      </c>
      <c r="P643" s="11">
        <f t="shared" si="45"/>
        <v>9.0909090909090912E-2</v>
      </c>
      <c r="Q643" s="11">
        <f t="shared" si="46"/>
        <v>3.0303030303030303E-3</v>
      </c>
      <c r="R643" s="19">
        <f t="shared" si="47"/>
        <v>1</v>
      </c>
      <c r="S643" s="6">
        <f t="shared" si="48"/>
        <v>1</v>
      </c>
      <c r="T643" s="5">
        <f t="shared" si="49"/>
        <v>1</v>
      </c>
    </row>
    <row r="644" spans="2:20" x14ac:dyDescent="0.25">
      <c r="B644" t="s">
        <v>599</v>
      </c>
      <c r="D644">
        <v>1</v>
      </c>
      <c r="N644">
        <v>1</v>
      </c>
      <c r="O644" s="1">
        <v>1</v>
      </c>
      <c r="P644" s="11">
        <f t="shared" si="45"/>
        <v>9.0909090909090912E-2</v>
      </c>
      <c r="Q644" s="11">
        <f t="shared" si="46"/>
        <v>3.0303030303030303E-3</v>
      </c>
      <c r="R644" s="19">
        <f t="shared" si="47"/>
        <v>1</v>
      </c>
      <c r="S644" s="6">
        <f t="shared" si="48"/>
        <v>1</v>
      </c>
      <c r="T644" s="5">
        <f t="shared" si="49"/>
        <v>1</v>
      </c>
    </row>
    <row r="645" spans="2:20" x14ac:dyDescent="0.25">
      <c r="B645" t="s">
        <v>694</v>
      </c>
      <c r="E645">
        <v>1</v>
      </c>
      <c r="I645">
        <v>1</v>
      </c>
      <c r="J645">
        <v>1</v>
      </c>
      <c r="N645">
        <v>3</v>
      </c>
      <c r="O645" s="1">
        <v>3</v>
      </c>
      <c r="P645" s="11">
        <f t="shared" si="45"/>
        <v>0.27272727272727271</v>
      </c>
      <c r="Q645" s="11">
        <f t="shared" si="46"/>
        <v>9.0909090909090905E-3</v>
      </c>
      <c r="R645" s="19">
        <f t="shared" si="47"/>
        <v>1</v>
      </c>
      <c r="S645" s="6">
        <f t="shared" si="48"/>
        <v>1</v>
      </c>
      <c r="T645" s="5">
        <f t="shared" si="49"/>
        <v>1</v>
      </c>
    </row>
    <row r="646" spans="2:20" x14ac:dyDescent="0.25">
      <c r="B646" t="s">
        <v>695</v>
      </c>
      <c r="E646">
        <v>1</v>
      </c>
      <c r="G646">
        <v>1</v>
      </c>
      <c r="N646">
        <v>2</v>
      </c>
      <c r="O646" s="1">
        <v>2</v>
      </c>
      <c r="P646" s="11">
        <f t="shared" ref="P646:P709" si="50">O646/11</f>
        <v>0.18181818181818182</v>
      </c>
      <c r="Q646" s="11">
        <f t="shared" si="46"/>
        <v>6.0606060606060606E-3</v>
      </c>
      <c r="R646" s="19">
        <f t="shared" si="47"/>
        <v>1</v>
      </c>
      <c r="S646" s="6">
        <f t="shared" si="48"/>
        <v>1</v>
      </c>
      <c r="T646" s="5">
        <f t="shared" si="49"/>
        <v>1</v>
      </c>
    </row>
    <row r="647" spans="2:20" x14ac:dyDescent="0.25">
      <c r="B647" t="s">
        <v>886</v>
      </c>
      <c r="H647">
        <v>1</v>
      </c>
      <c r="L647">
        <v>1</v>
      </c>
      <c r="M647">
        <v>3</v>
      </c>
      <c r="N647">
        <v>5</v>
      </c>
      <c r="O647" s="1">
        <v>5</v>
      </c>
      <c r="P647" s="11">
        <f t="shared" si="50"/>
        <v>0.45454545454545453</v>
      </c>
      <c r="Q647" s="11">
        <f t="shared" ref="Q647:Q710" si="51">P647/30</f>
        <v>1.515151515151515E-2</v>
      </c>
      <c r="R647" s="19">
        <f t="shared" ref="R647:R710" si="52">ODD(Q647*14)</f>
        <v>1</v>
      </c>
      <c r="S647" s="6">
        <f t="shared" ref="S647:S710" si="53">ODD(Q647*10.5)</f>
        <v>1</v>
      </c>
      <c r="T647" s="5">
        <f t="shared" ref="T647:T710" si="54">ODD(Q647*7)</f>
        <v>1</v>
      </c>
    </row>
    <row r="648" spans="2:20" x14ac:dyDescent="0.25">
      <c r="B648" t="s">
        <v>288</v>
      </c>
      <c r="C648">
        <v>2</v>
      </c>
      <c r="M648">
        <v>1</v>
      </c>
      <c r="N648">
        <v>3</v>
      </c>
      <c r="O648" s="1">
        <v>3</v>
      </c>
      <c r="P648" s="11">
        <f t="shared" si="50"/>
        <v>0.27272727272727271</v>
      </c>
      <c r="Q648" s="11">
        <f t="shared" si="51"/>
        <v>9.0909090909090905E-3</v>
      </c>
      <c r="R648" s="19">
        <f t="shared" si="52"/>
        <v>1</v>
      </c>
      <c r="S648" s="6">
        <f t="shared" si="53"/>
        <v>1</v>
      </c>
      <c r="T648" s="5">
        <f t="shared" si="54"/>
        <v>1</v>
      </c>
    </row>
    <row r="649" spans="2:20" x14ac:dyDescent="0.25">
      <c r="B649" t="s">
        <v>289</v>
      </c>
      <c r="C649">
        <v>3</v>
      </c>
      <c r="D649">
        <v>4</v>
      </c>
      <c r="E649">
        <v>5</v>
      </c>
      <c r="F649">
        <v>1</v>
      </c>
      <c r="G649">
        <v>5</v>
      </c>
      <c r="H649">
        <v>1</v>
      </c>
      <c r="I649">
        <v>2</v>
      </c>
      <c r="J649">
        <v>2</v>
      </c>
      <c r="K649">
        <v>5</v>
      </c>
      <c r="L649">
        <v>5</v>
      </c>
      <c r="M649">
        <v>5</v>
      </c>
      <c r="N649">
        <v>38</v>
      </c>
      <c r="O649" s="1">
        <v>38</v>
      </c>
      <c r="P649" s="11">
        <f t="shared" si="50"/>
        <v>3.4545454545454546</v>
      </c>
      <c r="Q649" s="11">
        <f t="shared" si="51"/>
        <v>0.11515151515151516</v>
      </c>
      <c r="R649" s="19">
        <f t="shared" si="52"/>
        <v>3</v>
      </c>
      <c r="S649" s="6">
        <f t="shared" si="53"/>
        <v>3</v>
      </c>
      <c r="T649" s="5">
        <f t="shared" si="54"/>
        <v>1</v>
      </c>
    </row>
    <row r="650" spans="2:20" x14ac:dyDescent="0.25">
      <c r="B650" t="s">
        <v>290</v>
      </c>
      <c r="C650">
        <v>23</v>
      </c>
      <c r="D650">
        <v>21</v>
      </c>
      <c r="E650">
        <v>10</v>
      </c>
      <c r="F650">
        <v>14</v>
      </c>
      <c r="G650">
        <v>19</v>
      </c>
      <c r="H650">
        <v>24</v>
      </c>
      <c r="I650">
        <v>20</v>
      </c>
      <c r="J650">
        <v>18</v>
      </c>
      <c r="K650">
        <v>18</v>
      </c>
      <c r="L650">
        <v>14</v>
      </c>
      <c r="M650">
        <v>14</v>
      </c>
      <c r="N650">
        <v>195</v>
      </c>
      <c r="O650" s="1">
        <v>195</v>
      </c>
      <c r="P650" s="11">
        <f t="shared" si="50"/>
        <v>17.727272727272727</v>
      </c>
      <c r="Q650" s="11">
        <f t="shared" si="51"/>
        <v>0.59090909090909094</v>
      </c>
      <c r="R650" s="19">
        <f t="shared" si="52"/>
        <v>9</v>
      </c>
      <c r="S650" s="6">
        <f t="shared" si="53"/>
        <v>7</v>
      </c>
      <c r="T650" s="5">
        <f t="shared" si="54"/>
        <v>5</v>
      </c>
    </row>
    <row r="651" spans="2:20" x14ac:dyDescent="0.25">
      <c r="B651" t="s">
        <v>291</v>
      </c>
      <c r="C651">
        <v>30</v>
      </c>
      <c r="D651">
        <v>29</v>
      </c>
      <c r="E651">
        <v>29</v>
      </c>
      <c r="F651">
        <v>23</v>
      </c>
      <c r="G651">
        <v>24</v>
      </c>
      <c r="H651">
        <v>14</v>
      </c>
      <c r="I651">
        <v>21</v>
      </c>
      <c r="J651">
        <v>19</v>
      </c>
      <c r="K651">
        <v>15</v>
      </c>
      <c r="L651">
        <v>21</v>
      </c>
      <c r="M651">
        <v>15</v>
      </c>
      <c r="N651">
        <v>240</v>
      </c>
      <c r="O651" s="1">
        <v>240</v>
      </c>
      <c r="P651" s="11">
        <f t="shared" si="50"/>
        <v>21.818181818181817</v>
      </c>
      <c r="Q651" s="11">
        <f t="shared" si="51"/>
        <v>0.72727272727272718</v>
      </c>
      <c r="R651" s="19">
        <f t="shared" si="52"/>
        <v>11</v>
      </c>
      <c r="S651" s="6">
        <f t="shared" si="53"/>
        <v>9</v>
      </c>
      <c r="T651" s="5">
        <f t="shared" si="54"/>
        <v>7</v>
      </c>
    </row>
    <row r="652" spans="2:20" x14ac:dyDescent="0.25">
      <c r="B652" t="s">
        <v>1058</v>
      </c>
      <c r="L652">
        <v>1</v>
      </c>
      <c r="N652">
        <v>1</v>
      </c>
      <c r="O652" s="1">
        <v>1</v>
      </c>
      <c r="P652" s="11">
        <f t="shared" si="50"/>
        <v>9.0909090909090912E-2</v>
      </c>
      <c r="Q652" s="11">
        <f t="shared" si="51"/>
        <v>3.0303030303030303E-3</v>
      </c>
      <c r="R652" s="19">
        <f t="shared" si="52"/>
        <v>1</v>
      </c>
      <c r="S652" s="6">
        <f t="shared" si="53"/>
        <v>1</v>
      </c>
      <c r="T652" s="5">
        <f t="shared" si="54"/>
        <v>1</v>
      </c>
    </row>
    <row r="653" spans="2:20" x14ac:dyDescent="0.25">
      <c r="B653" t="s">
        <v>887</v>
      </c>
      <c r="H653">
        <v>1</v>
      </c>
      <c r="N653">
        <v>1</v>
      </c>
      <c r="O653" s="1">
        <v>1</v>
      </c>
      <c r="P653" s="11">
        <f t="shared" si="50"/>
        <v>9.0909090909090912E-2</v>
      </c>
      <c r="Q653" s="11">
        <f t="shared" si="51"/>
        <v>3.0303030303030303E-3</v>
      </c>
      <c r="R653" s="19">
        <f t="shared" si="52"/>
        <v>1</v>
      </c>
      <c r="S653" s="6">
        <f t="shared" si="53"/>
        <v>1</v>
      </c>
      <c r="T653" s="5">
        <f t="shared" si="54"/>
        <v>1</v>
      </c>
    </row>
    <row r="654" spans="2:20" x14ac:dyDescent="0.25">
      <c r="B654" t="s">
        <v>696</v>
      </c>
      <c r="E654">
        <v>2</v>
      </c>
      <c r="N654">
        <v>2</v>
      </c>
      <c r="O654" s="1">
        <v>2</v>
      </c>
      <c r="P654" s="11">
        <f t="shared" si="50"/>
        <v>0.18181818181818182</v>
      </c>
      <c r="Q654" s="11">
        <f t="shared" si="51"/>
        <v>6.0606060606060606E-3</v>
      </c>
      <c r="R654" s="19">
        <f t="shared" si="52"/>
        <v>1</v>
      </c>
      <c r="S654" s="6">
        <f t="shared" si="53"/>
        <v>1</v>
      </c>
      <c r="T654" s="5">
        <f t="shared" si="54"/>
        <v>1</v>
      </c>
    </row>
    <row r="655" spans="2:20" x14ac:dyDescent="0.25">
      <c r="B655" t="s">
        <v>292</v>
      </c>
      <c r="C655">
        <v>1</v>
      </c>
      <c r="D655">
        <v>1</v>
      </c>
      <c r="E655">
        <v>4</v>
      </c>
      <c r="G655">
        <v>3</v>
      </c>
      <c r="H655">
        <v>3</v>
      </c>
      <c r="I655">
        <v>6</v>
      </c>
      <c r="J655">
        <v>3</v>
      </c>
      <c r="K655">
        <v>4</v>
      </c>
      <c r="L655">
        <v>2</v>
      </c>
      <c r="N655">
        <v>27</v>
      </c>
      <c r="O655" s="1">
        <v>27</v>
      </c>
      <c r="P655" s="11">
        <f t="shared" si="50"/>
        <v>2.4545454545454546</v>
      </c>
      <c r="Q655" s="11">
        <f t="shared" si="51"/>
        <v>8.1818181818181818E-2</v>
      </c>
      <c r="R655" s="19">
        <f t="shared" si="52"/>
        <v>3</v>
      </c>
      <c r="S655" s="6">
        <f t="shared" si="53"/>
        <v>1</v>
      </c>
      <c r="T655" s="5">
        <f t="shared" si="54"/>
        <v>1</v>
      </c>
    </row>
    <row r="656" spans="2:20" x14ac:dyDescent="0.25">
      <c r="B656" t="s">
        <v>293</v>
      </c>
      <c r="C656">
        <v>1</v>
      </c>
      <c r="J656">
        <v>1</v>
      </c>
      <c r="N656">
        <v>2</v>
      </c>
      <c r="O656" s="1">
        <v>2</v>
      </c>
      <c r="P656" s="11">
        <f t="shared" si="50"/>
        <v>0.18181818181818182</v>
      </c>
      <c r="Q656" s="11">
        <f t="shared" si="51"/>
        <v>6.0606060606060606E-3</v>
      </c>
      <c r="R656" s="19">
        <f t="shared" si="52"/>
        <v>1</v>
      </c>
      <c r="S656" s="6">
        <f t="shared" si="53"/>
        <v>1</v>
      </c>
      <c r="T656" s="5">
        <f t="shared" si="54"/>
        <v>1</v>
      </c>
    </row>
    <row r="657" spans="2:20" x14ac:dyDescent="0.25">
      <c r="B657" t="s">
        <v>294</v>
      </c>
      <c r="C657">
        <v>2</v>
      </c>
      <c r="D657">
        <v>1</v>
      </c>
      <c r="E657">
        <v>4</v>
      </c>
      <c r="F657">
        <v>3</v>
      </c>
      <c r="G657">
        <v>2</v>
      </c>
      <c r="I657">
        <v>3</v>
      </c>
      <c r="J657">
        <v>13</v>
      </c>
      <c r="K657">
        <v>1</v>
      </c>
      <c r="L657">
        <v>4</v>
      </c>
      <c r="M657">
        <v>5</v>
      </c>
      <c r="N657">
        <v>38</v>
      </c>
      <c r="O657" s="1">
        <v>38</v>
      </c>
      <c r="P657" s="11">
        <f t="shared" si="50"/>
        <v>3.4545454545454546</v>
      </c>
      <c r="Q657" s="11">
        <f t="shared" si="51"/>
        <v>0.11515151515151516</v>
      </c>
      <c r="R657" s="19">
        <f t="shared" si="52"/>
        <v>3</v>
      </c>
      <c r="S657" s="6">
        <f t="shared" si="53"/>
        <v>3</v>
      </c>
      <c r="T657" s="5">
        <f t="shared" si="54"/>
        <v>1</v>
      </c>
    </row>
    <row r="658" spans="2:20" x14ac:dyDescent="0.25">
      <c r="B658" t="s">
        <v>888</v>
      </c>
      <c r="H658">
        <v>1</v>
      </c>
      <c r="N658">
        <v>1</v>
      </c>
      <c r="O658" s="1">
        <v>1</v>
      </c>
      <c r="P658" s="11">
        <f t="shared" si="50"/>
        <v>9.0909090909090912E-2</v>
      </c>
      <c r="Q658" s="11">
        <f t="shared" si="51"/>
        <v>3.0303030303030303E-3</v>
      </c>
      <c r="R658" s="19">
        <f t="shared" si="52"/>
        <v>1</v>
      </c>
      <c r="S658" s="6">
        <f t="shared" si="53"/>
        <v>1</v>
      </c>
      <c r="T658" s="5">
        <f t="shared" si="54"/>
        <v>1</v>
      </c>
    </row>
    <row r="659" spans="2:20" x14ac:dyDescent="0.25">
      <c r="B659" t="s">
        <v>1096</v>
      </c>
      <c r="M659">
        <v>1</v>
      </c>
      <c r="N659">
        <v>1</v>
      </c>
      <c r="O659" s="1">
        <v>1</v>
      </c>
      <c r="P659" s="11">
        <f t="shared" si="50"/>
        <v>9.0909090909090912E-2</v>
      </c>
      <c r="Q659" s="11">
        <f t="shared" si="51"/>
        <v>3.0303030303030303E-3</v>
      </c>
      <c r="R659" s="19">
        <f t="shared" si="52"/>
        <v>1</v>
      </c>
      <c r="S659" s="6">
        <f t="shared" si="53"/>
        <v>1</v>
      </c>
      <c r="T659" s="5">
        <f t="shared" si="54"/>
        <v>1</v>
      </c>
    </row>
    <row r="660" spans="2:20" x14ac:dyDescent="0.25">
      <c r="B660" t="s">
        <v>295</v>
      </c>
      <c r="C660">
        <v>5</v>
      </c>
      <c r="I660">
        <v>3</v>
      </c>
      <c r="J660">
        <v>1</v>
      </c>
      <c r="K660">
        <v>7</v>
      </c>
      <c r="L660">
        <v>4</v>
      </c>
      <c r="M660">
        <v>4</v>
      </c>
      <c r="N660">
        <v>24</v>
      </c>
      <c r="O660" s="1">
        <v>24</v>
      </c>
      <c r="P660" s="11">
        <f t="shared" si="50"/>
        <v>2.1818181818181817</v>
      </c>
      <c r="Q660" s="11">
        <f t="shared" si="51"/>
        <v>7.2727272727272724E-2</v>
      </c>
      <c r="R660" s="19">
        <f t="shared" si="52"/>
        <v>3</v>
      </c>
      <c r="S660" s="6">
        <f t="shared" si="53"/>
        <v>1</v>
      </c>
      <c r="T660" s="5">
        <f t="shared" si="54"/>
        <v>1</v>
      </c>
    </row>
    <row r="661" spans="2:20" x14ac:dyDescent="0.25">
      <c r="B661" t="s">
        <v>296</v>
      </c>
      <c r="C661">
        <v>2</v>
      </c>
      <c r="D661">
        <v>2</v>
      </c>
      <c r="F661">
        <v>2</v>
      </c>
      <c r="K661">
        <v>1</v>
      </c>
      <c r="L661">
        <v>1</v>
      </c>
      <c r="M661">
        <v>1</v>
      </c>
      <c r="N661">
        <v>9</v>
      </c>
      <c r="O661" s="1">
        <v>9</v>
      </c>
      <c r="P661" s="11">
        <f t="shared" si="50"/>
        <v>0.81818181818181823</v>
      </c>
      <c r="Q661" s="11">
        <f t="shared" si="51"/>
        <v>2.7272727272727275E-2</v>
      </c>
      <c r="R661" s="19">
        <f t="shared" si="52"/>
        <v>1</v>
      </c>
      <c r="S661" s="6">
        <f t="shared" si="53"/>
        <v>1</v>
      </c>
      <c r="T661" s="5">
        <f t="shared" si="54"/>
        <v>1</v>
      </c>
    </row>
    <row r="662" spans="2:20" x14ac:dyDescent="0.25">
      <c r="B662" t="s">
        <v>1059</v>
      </c>
      <c r="L662">
        <v>1</v>
      </c>
      <c r="N662">
        <v>1</v>
      </c>
      <c r="O662" s="1">
        <v>1</v>
      </c>
      <c r="P662" s="11">
        <f t="shared" si="50"/>
        <v>9.0909090909090912E-2</v>
      </c>
      <c r="Q662" s="11">
        <f t="shared" si="51"/>
        <v>3.0303030303030303E-3</v>
      </c>
      <c r="R662" s="19">
        <f t="shared" si="52"/>
        <v>1</v>
      </c>
      <c r="S662" s="6">
        <f t="shared" si="53"/>
        <v>1</v>
      </c>
      <c r="T662" s="5">
        <f t="shared" si="54"/>
        <v>1</v>
      </c>
    </row>
    <row r="663" spans="2:20" x14ac:dyDescent="0.25">
      <c r="B663" t="s">
        <v>697</v>
      </c>
      <c r="E663">
        <v>2</v>
      </c>
      <c r="H663">
        <v>1</v>
      </c>
      <c r="N663">
        <v>3</v>
      </c>
      <c r="O663" s="1">
        <v>3</v>
      </c>
      <c r="P663" s="11">
        <f t="shared" si="50"/>
        <v>0.27272727272727271</v>
      </c>
      <c r="Q663" s="11">
        <f t="shared" si="51"/>
        <v>9.0909090909090905E-3</v>
      </c>
      <c r="R663" s="19">
        <f t="shared" si="52"/>
        <v>1</v>
      </c>
      <c r="S663" s="6">
        <f t="shared" si="53"/>
        <v>1</v>
      </c>
      <c r="T663" s="5">
        <f t="shared" si="54"/>
        <v>1</v>
      </c>
    </row>
    <row r="664" spans="2:20" x14ac:dyDescent="0.25">
      <c r="B664" t="s">
        <v>297</v>
      </c>
      <c r="C664">
        <v>2</v>
      </c>
      <c r="D664">
        <v>119</v>
      </c>
      <c r="E664">
        <v>18</v>
      </c>
      <c r="G664">
        <v>2</v>
      </c>
      <c r="H664">
        <v>16</v>
      </c>
      <c r="I664">
        <v>14</v>
      </c>
      <c r="K664">
        <v>3</v>
      </c>
      <c r="M664">
        <v>22</v>
      </c>
      <c r="N664">
        <v>196</v>
      </c>
      <c r="O664" s="1">
        <v>196</v>
      </c>
      <c r="P664" s="11">
        <f t="shared" si="50"/>
        <v>17.818181818181817</v>
      </c>
      <c r="Q664" s="11">
        <f t="shared" si="51"/>
        <v>0.59393939393939388</v>
      </c>
      <c r="R664" s="19">
        <f t="shared" si="52"/>
        <v>9</v>
      </c>
      <c r="S664" s="6">
        <f t="shared" si="53"/>
        <v>7</v>
      </c>
      <c r="T664" s="5">
        <f t="shared" si="54"/>
        <v>5</v>
      </c>
    </row>
    <row r="665" spans="2:20" x14ac:dyDescent="0.25">
      <c r="B665" t="s">
        <v>298</v>
      </c>
      <c r="C665">
        <v>217</v>
      </c>
      <c r="D665">
        <v>134</v>
      </c>
      <c r="E665">
        <v>47</v>
      </c>
      <c r="F665">
        <v>63</v>
      </c>
      <c r="G665">
        <v>68</v>
      </c>
      <c r="H665">
        <v>137</v>
      </c>
      <c r="I665">
        <v>67</v>
      </c>
      <c r="J665">
        <v>52</v>
      </c>
      <c r="K665">
        <v>63</v>
      </c>
      <c r="L665">
        <v>213</v>
      </c>
      <c r="M665">
        <v>153</v>
      </c>
      <c r="N665">
        <v>1214</v>
      </c>
      <c r="O665" s="1">
        <v>1214</v>
      </c>
      <c r="P665" s="11">
        <f t="shared" si="50"/>
        <v>110.36363636363636</v>
      </c>
      <c r="Q665" s="11">
        <f t="shared" si="51"/>
        <v>3.6787878787878787</v>
      </c>
      <c r="R665" s="19">
        <f t="shared" si="52"/>
        <v>53</v>
      </c>
      <c r="S665" s="6">
        <f t="shared" si="53"/>
        <v>39</v>
      </c>
      <c r="T665" s="5">
        <f t="shared" si="54"/>
        <v>27</v>
      </c>
    </row>
    <row r="666" spans="2:20" x14ac:dyDescent="0.25">
      <c r="B666" t="s">
        <v>600</v>
      </c>
      <c r="D666">
        <v>1</v>
      </c>
      <c r="F666">
        <v>1</v>
      </c>
      <c r="N666">
        <v>2</v>
      </c>
      <c r="O666" s="1">
        <v>2</v>
      </c>
      <c r="P666" s="11">
        <f t="shared" si="50"/>
        <v>0.18181818181818182</v>
      </c>
      <c r="Q666" s="11">
        <f t="shared" si="51"/>
        <v>6.0606060606060606E-3</v>
      </c>
      <c r="R666" s="19">
        <f t="shared" si="52"/>
        <v>1</v>
      </c>
      <c r="S666" s="6">
        <f t="shared" si="53"/>
        <v>1</v>
      </c>
      <c r="T666" s="5">
        <f t="shared" si="54"/>
        <v>1</v>
      </c>
    </row>
    <row r="667" spans="2:20" x14ac:dyDescent="0.25">
      <c r="B667" t="s">
        <v>601</v>
      </c>
      <c r="D667">
        <v>1</v>
      </c>
      <c r="J667">
        <v>1</v>
      </c>
      <c r="N667">
        <v>2</v>
      </c>
      <c r="O667" s="1">
        <v>2</v>
      </c>
      <c r="P667" s="11">
        <f t="shared" si="50"/>
        <v>0.18181818181818182</v>
      </c>
      <c r="Q667" s="11">
        <f t="shared" si="51"/>
        <v>6.0606060606060606E-3</v>
      </c>
      <c r="R667" s="19">
        <f t="shared" si="52"/>
        <v>1</v>
      </c>
      <c r="S667" s="6">
        <f t="shared" si="53"/>
        <v>1</v>
      </c>
      <c r="T667" s="5">
        <f t="shared" si="54"/>
        <v>1</v>
      </c>
    </row>
    <row r="668" spans="2:20" x14ac:dyDescent="0.25">
      <c r="B668" t="s">
        <v>299</v>
      </c>
      <c r="C668">
        <v>7</v>
      </c>
      <c r="D668">
        <v>6</v>
      </c>
      <c r="E668">
        <v>3</v>
      </c>
      <c r="F668">
        <v>3</v>
      </c>
      <c r="G668">
        <v>8</v>
      </c>
      <c r="H668">
        <v>4</v>
      </c>
      <c r="I668">
        <v>9</v>
      </c>
      <c r="J668">
        <v>5</v>
      </c>
      <c r="K668">
        <v>4</v>
      </c>
      <c r="L668">
        <v>7</v>
      </c>
      <c r="M668">
        <v>2</v>
      </c>
      <c r="N668">
        <v>58</v>
      </c>
      <c r="O668" s="1">
        <v>58</v>
      </c>
      <c r="P668" s="11">
        <f t="shared" si="50"/>
        <v>5.2727272727272725</v>
      </c>
      <c r="Q668" s="11">
        <f t="shared" si="51"/>
        <v>0.17575757575757575</v>
      </c>
      <c r="R668" s="19">
        <f t="shared" si="52"/>
        <v>3</v>
      </c>
      <c r="S668" s="6">
        <f t="shared" si="53"/>
        <v>3</v>
      </c>
      <c r="T668" s="5">
        <f t="shared" si="54"/>
        <v>3</v>
      </c>
    </row>
    <row r="669" spans="2:20" x14ac:dyDescent="0.25">
      <c r="B669" t="s">
        <v>1060</v>
      </c>
      <c r="L669">
        <v>1</v>
      </c>
      <c r="M669">
        <v>1</v>
      </c>
      <c r="N669">
        <v>2</v>
      </c>
      <c r="O669" s="1">
        <v>2</v>
      </c>
      <c r="P669" s="11">
        <f t="shared" si="50"/>
        <v>0.18181818181818182</v>
      </c>
      <c r="Q669" s="11">
        <f t="shared" si="51"/>
        <v>6.0606060606060606E-3</v>
      </c>
      <c r="R669" s="19">
        <f t="shared" si="52"/>
        <v>1</v>
      </c>
      <c r="S669" s="6">
        <f t="shared" si="53"/>
        <v>1</v>
      </c>
      <c r="T669" s="5">
        <f t="shared" si="54"/>
        <v>1</v>
      </c>
    </row>
    <row r="670" spans="2:20" x14ac:dyDescent="0.25">
      <c r="B670" t="s">
        <v>1014</v>
      </c>
      <c r="K670">
        <v>1</v>
      </c>
      <c r="N670">
        <v>1</v>
      </c>
      <c r="O670" s="1">
        <v>1</v>
      </c>
      <c r="P670" s="11">
        <f t="shared" si="50"/>
        <v>9.0909090909090912E-2</v>
      </c>
      <c r="Q670" s="11">
        <f t="shared" si="51"/>
        <v>3.0303030303030303E-3</v>
      </c>
      <c r="R670" s="19">
        <f t="shared" si="52"/>
        <v>1</v>
      </c>
      <c r="S670" s="6">
        <f t="shared" si="53"/>
        <v>1</v>
      </c>
      <c r="T670" s="5">
        <f t="shared" si="54"/>
        <v>1</v>
      </c>
    </row>
    <row r="671" spans="2:20" x14ac:dyDescent="0.25">
      <c r="B671" t="s">
        <v>300</v>
      </c>
      <c r="C671">
        <v>1</v>
      </c>
      <c r="D671">
        <v>1</v>
      </c>
      <c r="F671">
        <v>2</v>
      </c>
      <c r="G671">
        <v>2</v>
      </c>
      <c r="H671">
        <v>2</v>
      </c>
      <c r="I671">
        <v>1</v>
      </c>
      <c r="M671">
        <v>1</v>
      </c>
      <c r="N671">
        <v>10</v>
      </c>
      <c r="O671" s="1">
        <v>10</v>
      </c>
      <c r="P671" s="11">
        <f t="shared" si="50"/>
        <v>0.90909090909090906</v>
      </c>
      <c r="Q671" s="11">
        <f t="shared" si="51"/>
        <v>3.03030303030303E-2</v>
      </c>
      <c r="R671" s="19">
        <f t="shared" si="52"/>
        <v>1</v>
      </c>
      <c r="S671" s="6">
        <f t="shared" si="53"/>
        <v>1</v>
      </c>
      <c r="T671" s="5">
        <f t="shared" si="54"/>
        <v>1</v>
      </c>
    </row>
    <row r="672" spans="2:20" x14ac:dyDescent="0.25">
      <c r="B672" t="s">
        <v>301</v>
      </c>
      <c r="C672">
        <v>1</v>
      </c>
      <c r="E672">
        <v>1</v>
      </c>
      <c r="F672">
        <v>1</v>
      </c>
      <c r="H672">
        <v>2</v>
      </c>
      <c r="I672">
        <v>1</v>
      </c>
      <c r="N672">
        <v>6</v>
      </c>
      <c r="O672" s="1">
        <v>6</v>
      </c>
      <c r="P672" s="11">
        <f t="shared" si="50"/>
        <v>0.54545454545454541</v>
      </c>
      <c r="Q672" s="11">
        <f t="shared" si="51"/>
        <v>1.8181818181818181E-2</v>
      </c>
      <c r="R672" s="19">
        <f t="shared" si="52"/>
        <v>1</v>
      </c>
      <c r="S672" s="6">
        <f t="shared" si="53"/>
        <v>1</v>
      </c>
      <c r="T672" s="5">
        <f t="shared" si="54"/>
        <v>1</v>
      </c>
    </row>
    <row r="673" spans="2:20" x14ac:dyDescent="0.25">
      <c r="B673" t="s">
        <v>939</v>
      </c>
      <c r="I673">
        <v>1</v>
      </c>
      <c r="J673">
        <v>0</v>
      </c>
      <c r="M673">
        <v>1</v>
      </c>
      <c r="N673">
        <v>2</v>
      </c>
      <c r="O673" s="1">
        <v>2</v>
      </c>
      <c r="P673" s="11">
        <f t="shared" si="50"/>
        <v>0.18181818181818182</v>
      </c>
      <c r="Q673" s="11">
        <f t="shared" si="51"/>
        <v>6.0606060606060606E-3</v>
      </c>
      <c r="R673" s="19">
        <f t="shared" si="52"/>
        <v>1</v>
      </c>
      <c r="S673" s="6">
        <f t="shared" si="53"/>
        <v>1</v>
      </c>
      <c r="T673" s="5">
        <f t="shared" si="54"/>
        <v>1</v>
      </c>
    </row>
    <row r="674" spans="2:20" x14ac:dyDescent="0.25">
      <c r="B674" t="s">
        <v>302</v>
      </c>
      <c r="C674">
        <v>1</v>
      </c>
      <c r="D674">
        <v>1</v>
      </c>
      <c r="F674">
        <v>2</v>
      </c>
      <c r="J674">
        <v>1</v>
      </c>
      <c r="K674">
        <v>1</v>
      </c>
      <c r="L674">
        <v>3</v>
      </c>
      <c r="N674">
        <v>9</v>
      </c>
      <c r="O674" s="1">
        <v>9</v>
      </c>
      <c r="P674" s="11">
        <f t="shared" si="50"/>
        <v>0.81818181818181823</v>
      </c>
      <c r="Q674" s="11">
        <f t="shared" si="51"/>
        <v>2.7272727272727275E-2</v>
      </c>
      <c r="R674" s="19">
        <f t="shared" si="52"/>
        <v>1</v>
      </c>
      <c r="S674" s="6">
        <f t="shared" si="53"/>
        <v>1</v>
      </c>
      <c r="T674" s="5">
        <f t="shared" si="54"/>
        <v>1</v>
      </c>
    </row>
    <row r="675" spans="2:20" x14ac:dyDescent="0.25">
      <c r="B675" t="s">
        <v>781</v>
      </c>
      <c r="F675">
        <v>2</v>
      </c>
      <c r="G675">
        <v>1</v>
      </c>
      <c r="H675">
        <v>2</v>
      </c>
      <c r="N675">
        <v>5</v>
      </c>
      <c r="O675" s="1">
        <v>5</v>
      </c>
      <c r="P675" s="11">
        <f t="shared" si="50"/>
        <v>0.45454545454545453</v>
      </c>
      <c r="Q675" s="11">
        <f t="shared" si="51"/>
        <v>1.515151515151515E-2</v>
      </c>
      <c r="R675" s="19">
        <f t="shared" si="52"/>
        <v>1</v>
      </c>
      <c r="S675" s="6">
        <f t="shared" si="53"/>
        <v>1</v>
      </c>
      <c r="T675" s="5">
        <f t="shared" si="54"/>
        <v>1</v>
      </c>
    </row>
    <row r="676" spans="2:20" x14ac:dyDescent="0.25">
      <c r="B676" t="s">
        <v>303</v>
      </c>
      <c r="C676">
        <v>5</v>
      </c>
      <c r="E676">
        <v>6</v>
      </c>
      <c r="G676">
        <v>8</v>
      </c>
      <c r="H676">
        <v>3</v>
      </c>
      <c r="I676">
        <v>2</v>
      </c>
      <c r="J676">
        <v>4</v>
      </c>
      <c r="K676">
        <v>8</v>
      </c>
      <c r="L676">
        <v>3</v>
      </c>
      <c r="M676">
        <v>1</v>
      </c>
      <c r="N676">
        <v>40</v>
      </c>
      <c r="O676" s="1">
        <v>40</v>
      </c>
      <c r="P676" s="11">
        <f t="shared" si="50"/>
        <v>3.6363636363636362</v>
      </c>
      <c r="Q676" s="11">
        <f t="shared" si="51"/>
        <v>0.1212121212121212</v>
      </c>
      <c r="R676" s="19">
        <f t="shared" si="52"/>
        <v>3</v>
      </c>
      <c r="S676" s="6">
        <f t="shared" si="53"/>
        <v>3</v>
      </c>
      <c r="T676" s="5">
        <f t="shared" si="54"/>
        <v>1</v>
      </c>
    </row>
    <row r="677" spans="2:20" x14ac:dyDescent="0.25">
      <c r="B677" t="s">
        <v>974</v>
      </c>
      <c r="J677">
        <v>1</v>
      </c>
      <c r="N677">
        <v>1</v>
      </c>
      <c r="O677" s="1">
        <v>1</v>
      </c>
      <c r="P677" s="11">
        <f t="shared" si="50"/>
        <v>9.0909090909090912E-2</v>
      </c>
      <c r="Q677" s="11">
        <f t="shared" si="51"/>
        <v>3.0303030303030303E-3</v>
      </c>
      <c r="R677" s="19">
        <f t="shared" si="52"/>
        <v>1</v>
      </c>
      <c r="S677" s="6">
        <f t="shared" si="53"/>
        <v>1</v>
      </c>
      <c r="T677" s="5">
        <f t="shared" si="54"/>
        <v>1</v>
      </c>
    </row>
    <row r="678" spans="2:20" x14ac:dyDescent="0.25">
      <c r="B678" t="s">
        <v>836</v>
      </c>
      <c r="G678">
        <v>1</v>
      </c>
      <c r="N678">
        <v>1</v>
      </c>
      <c r="O678" s="1">
        <v>1</v>
      </c>
      <c r="P678" s="11">
        <f t="shared" si="50"/>
        <v>9.0909090909090912E-2</v>
      </c>
      <c r="Q678" s="11">
        <f t="shared" si="51"/>
        <v>3.0303030303030303E-3</v>
      </c>
      <c r="R678" s="19">
        <f t="shared" si="52"/>
        <v>1</v>
      </c>
      <c r="S678" s="6">
        <f t="shared" si="53"/>
        <v>1</v>
      </c>
      <c r="T678" s="5">
        <f t="shared" si="54"/>
        <v>1</v>
      </c>
    </row>
    <row r="679" spans="2:20" x14ac:dyDescent="0.25">
      <c r="B679" t="s">
        <v>1061</v>
      </c>
      <c r="L679">
        <v>1</v>
      </c>
      <c r="N679">
        <v>1</v>
      </c>
      <c r="O679" s="1">
        <v>1</v>
      </c>
      <c r="P679" s="11">
        <f t="shared" si="50"/>
        <v>9.0909090909090912E-2</v>
      </c>
      <c r="Q679" s="11">
        <f t="shared" si="51"/>
        <v>3.0303030303030303E-3</v>
      </c>
      <c r="R679" s="19">
        <f t="shared" si="52"/>
        <v>1</v>
      </c>
      <c r="S679" s="6">
        <f t="shared" si="53"/>
        <v>1</v>
      </c>
      <c r="T679" s="5">
        <f t="shared" si="54"/>
        <v>1</v>
      </c>
    </row>
    <row r="680" spans="2:20" x14ac:dyDescent="0.25">
      <c r="B680" t="s">
        <v>304</v>
      </c>
      <c r="C680">
        <v>6</v>
      </c>
      <c r="E680">
        <v>2</v>
      </c>
      <c r="H680">
        <v>2</v>
      </c>
      <c r="I680">
        <v>1</v>
      </c>
      <c r="M680">
        <v>2</v>
      </c>
      <c r="N680">
        <v>13</v>
      </c>
      <c r="O680" s="1">
        <v>13</v>
      </c>
      <c r="P680" s="11">
        <f t="shared" si="50"/>
        <v>1.1818181818181819</v>
      </c>
      <c r="Q680" s="11">
        <f t="shared" si="51"/>
        <v>3.9393939393939398E-2</v>
      </c>
      <c r="R680" s="19">
        <f t="shared" si="52"/>
        <v>1</v>
      </c>
      <c r="S680" s="6">
        <f t="shared" si="53"/>
        <v>1</v>
      </c>
      <c r="T680" s="5">
        <f t="shared" si="54"/>
        <v>1</v>
      </c>
    </row>
    <row r="681" spans="2:20" x14ac:dyDescent="0.25">
      <c r="B681" t="s">
        <v>889</v>
      </c>
      <c r="H681">
        <v>1</v>
      </c>
      <c r="I681">
        <v>1</v>
      </c>
      <c r="N681">
        <v>2</v>
      </c>
      <c r="O681" s="1">
        <v>2</v>
      </c>
      <c r="P681" s="11">
        <f t="shared" si="50"/>
        <v>0.18181818181818182</v>
      </c>
      <c r="Q681" s="11">
        <f t="shared" si="51"/>
        <v>6.0606060606060606E-3</v>
      </c>
      <c r="R681" s="19">
        <f t="shared" si="52"/>
        <v>1</v>
      </c>
      <c r="S681" s="6">
        <f t="shared" si="53"/>
        <v>1</v>
      </c>
      <c r="T681" s="5">
        <f t="shared" si="54"/>
        <v>1</v>
      </c>
    </row>
    <row r="682" spans="2:20" x14ac:dyDescent="0.25">
      <c r="B682" t="s">
        <v>602</v>
      </c>
      <c r="D682">
        <v>9</v>
      </c>
      <c r="E682">
        <v>5</v>
      </c>
      <c r="F682">
        <v>3</v>
      </c>
      <c r="G682">
        <v>4</v>
      </c>
      <c r="H682">
        <v>3</v>
      </c>
      <c r="I682">
        <v>1</v>
      </c>
      <c r="J682">
        <v>3</v>
      </c>
      <c r="K682">
        <v>8</v>
      </c>
      <c r="L682">
        <v>4</v>
      </c>
      <c r="M682">
        <v>5</v>
      </c>
      <c r="N682">
        <v>45</v>
      </c>
      <c r="O682" s="1">
        <v>45</v>
      </c>
      <c r="P682" s="11">
        <f t="shared" si="50"/>
        <v>4.0909090909090908</v>
      </c>
      <c r="Q682" s="11">
        <f t="shared" si="51"/>
        <v>0.13636363636363635</v>
      </c>
      <c r="R682" s="19">
        <f t="shared" si="52"/>
        <v>3</v>
      </c>
      <c r="S682" s="6">
        <f t="shared" si="53"/>
        <v>3</v>
      </c>
      <c r="T682" s="5">
        <f t="shared" si="54"/>
        <v>1</v>
      </c>
    </row>
    <row r="683" spans="2:20" x14ac:dyDescent="0.25">
      <c r="B683" t="s">
        <v>305</v>
      </c>
      <c r="C683">
        <v>12</v>
      </c>
      <c r="D683">
        <v>21</v>
      </c>
      <c r="E683">
        <v>8</v>
      </c>
      <c r="F683">
        <v>3</v>
      </c>
      <c r="G683">
        <v>22</v>
      </c>
      <c r="H683">
        <v>5</v>
      </c>
      <c r="I683">
        <v>4</v>
      </c>
      <c r="L683">
        <v>16</v>
      </c>
      <c r="M683">
        <v>4</v>
      </c>
      <c r="N683">
        <v>95</v>
      </c>
      <c r="O683" s="1">
        <v>95</v>
      </c>
      <c r="P683" s="11">
        <f t="shared" si="50"/>
        <v>8.6363636363636367</v>
      </c>
      <c r="Q683" s="11">
        <f t="shared" si="51"/>
        <v>0.2878787878787879</v>
      </c>
      <c r="R683" s="19">
        <f t="shared" si="52"/>
        <v>5</v>
      </c>
      <c r="S683" s="6">
        <f t="shared" si="53"/>
        <v>5</v>
      </c>
      <c r="T683" s="5">
        <f t="shared" si="54"/>
        <v>3</v>
      </c>
    </row>
    <row r="684" spans="2:20" x14ac:dyDescent="0.25">
      <c r="B684" t="s">
        <v>306</v>
      </c>
      <c r="C684">
        <v>11</v>
      </c>
      <c r="D684">
        <v>3</v>
      </c>
      <c r="E684">
        <v>5</v>
      </c>
      <c r="F684">
        <v>4</v>
      </c>
      <c r="G684">
        <v>7</v>
      </c>
      <c r="H684">
        <v>8</v>
      </c>
      <c r="I684">
        <v>13</v>
      </c>
      <c r="J684">
        <v>5</v>
      </c>
      <c r="K684">
        <v>5</v>
      </c>
      <c r="L684">
        <v>1</v>
      </c>
      <c r="M684">
        <v>5</v>
      </c>
      <c r="N684">
        <v>67</v>
      </c>
      <c r="O684" s="1">
        <v>67</v>
      </c>
      <c r="P684" s="11">
        <f t="shared" si="50"/>
        <v>6.0909090909090908</v>
      </c>
      <c r="Q684" s="11">
        <f t="shared" si="51"/>
        <v>0.20303030303030303</v>
      </c>
      <c r="R684" s="19">
        <f t="shared" si="52"/>
        <v>3</v>
      </c>
      <c r="S684" s="6">
        <f t="shared" si="53"/>
        <v>3</v>
      </c>
      <c r="T684" s="5">
        <f t="shared" si="54"/>
        <v>3</v>
      </c>
    </row>
    <row r="685" spans="2:20" x14ac:dyDescent="0.25">
      <c r="B685" t="s">
        <v>307</v>
      </c>
      <c r="C685">
        <v>7</v>
      </c>
      <c r="D685">
        <v>10</v>
      </c>
      <c r="E685">
        <v>8</v>
      </c>
      <c r="F685">
        <v>3</v>
      </c>
      <c r="G685">
        <v>3</v>
      </c>
      <c r="H685">
        <v>6</v>
      </c>
      <c r="I685">
        <v>3</v>
      </c>
      <c r="J685">
        <v>4</v>
      </c>
      <c r="K685">
        <v>1</v>
      </c>
      <c r="L685">
        <v>7</v>
      </c>
      <c r="M685">
        <v>5</v>
      </c>
      <c r="N685">
        <v>57</v>
      </c>
      <c r="O685" s="1">
        <v>57</v>
      </c>
      <c r="P685" s="11">
        <f t="shared" si="50"/>
        <v>5.1818181818181817</v>
      </c>
      <c r="Q685" s="11">
        <f t="shared" si="51"/>
        <v>0.17272727272727273</v>
      </c>
      <c r="R685" s="19">
        <f t="shared" si="52"/>
        <v>3</v>
      </c>
      <c r="S685" s="6">
        <f t="shared" si="53"/>
        <v>3</v>
      </c>
      <c r="T685" s="5">
        <f t="shared" si="54"/>
        <v>3</v>
      </c>
    </row>
    <row r="686" spans="2:20" x14ac:dyDescent="0.25">
      <c r="B686" t="s">
        <v>308</v>
      </c>
      <c r="C686">
        <v>6</v>
      </c>
      <c r="D686">
        <v>4</v>
      </c>
      <c r="E686">
        <v>7</v>
      </c>
      <c r="F686">
        <v>5</v>
      </c>
      <c r="G686">
        <v>2</v>
      </c>
      <c r="H686">
        <v>4</v>
      </c>
      <c r="I686">
        <v>3</v>
      </c>
      <c r="J686">
        <v>1</v>
      </c>
      <c r="N686">
        <v>32</v>
      </c>
      <c r="O686" s="1">
        <v>32</v>
      </c>
      <c r="P686" s="11">
        <f t="shared" si="50"/>
        <v>2.9090909090909092</v>
      </c>
      <c r="Q686" s="11">
        <f t="shared" si="51"/>
        <v>9.696969696969697E-2</v>
      </c>
      <c r="R686" s="19">
        <f t="shared" si="52"/>
        <v>3</v>
      </c>
      <c r="S686" s="6">
        <f t="shared" si="53"/>
        <v>3</v>
      </c>
      <c r="T686" s="5">
        <f t="shared" si="54"/>
        <v>1</v>
      </c>
    </row>
    <row r="687" spans="2:20" x14ac:dyDescent="0.25">
      <c r="B687" t="s">
        <v>309</v>
      </c>
      <c r="C687">
        <v>3</v>
      </c>
      <c r="D687">
        <v>1</v>
      </c>
      <c r="F687">
        <v>3</v>
      </c>
      <c r="G687">
        <v>5</v>
      </c>
      <c r="H687">
        <v>1</v>
      </c>
      <c r="I687">
        <v>3</v>
      </c>
      <c r="J687">
        <v>1</v>
      </c>
      <c r="K687">
        <v>4</v>
      </c>
      <c r="L687">
        <v>5</v>
      </c>
      <c r="M687">
        <v>1</v>
      </c>
      <c r="N687">
        <v>27</v>
      </c>
      <c r="O687" s="1">
        <v>27</v>
      </c>
      <c r="P687" s="11">
        <f t="shared" si="50"/>
        <v>2.4545454545454546</v>
      </c>
      <c r="Q687" s="11">
        <f t="shared" si="51"/>
        <v>8.1818181818181818E-2</v>
      </c>
      <c r="R687" s="19">
        <f t="shared" si="52"/>
        <v>3</v>
      </c>
      <c r="S687" s="6">
        <f t="shared" si="53"/>
        <v>1</v>
      </c>
      <c r="T687" s="5">
        <f t="shared" si="54"/>
        <v>1</v>
      </c>
    </row>
    <row r="688" spans="2:20" x14ac:dyDescent="0.25">
      <c r="B688" t="s">
        <v>310</v>
      </c>
      <c r="C688">
        <v>1</v>
      </c>
      <c r="D688">
        <v>1</v>
      </c>
      <c r="E688">
        <v>1</v>
      </c>
      <c r="N688">
        <v>3</v>
      </c>
      <c r="O688" s="1">
        <v>3</v>
      </c>
      <c r="P688" s="11">
        <f t="shared" si="50"/>
        <v>0.27272727272727271</v>
      </c>
      <c r="Q688" s="11">
        <f t="shared" si="51"/>
        <v>9.0909090909090905E-3</v>
      </c>
      <c r="R688" s="19">
        <f t="shared" si="52"/>
        <v>1</v>
      </c>
      <c r="S688" s="6">
        <f t="shared" si="53"/>
        <v>1</v>
      </c>
      <c r="T688" s="5">
        <f t="shared" si="54"/>
        <v>1</v>
      </c>
    </row>
    <row r="689" spans="2:20" x14ac:dyDescent="0.25">
      <c r="B689" t="s">
        <v>698</v>
      </c>
      <c r="E689">
        <v>8</v>
      </c>
      <c r="H689">
        <v>6</v>
      </c>
      <c r="I689">
        <v>6</v>
      </c>
      <c r="L689">
        <v>7</v>
      </c>
      <c r="M689">
        <v>5</v>
      </c>
      <c r="N689">
        <v>32</v>
      </c>
      <c r="O689" s="1">
        <v>32</v>
      </c>
      <c r="P689" s="11">
        <f t="shared" si="50"/>
        <v>2.9090909090909092</v>
      </c>
      <c r="Q689" s="11">
        <f t="shared" si="51"/>
        <v>9.696969696969697E-2</v>
      </c>
      <c r="R689" s="19">
        <f t="shared" si="52"/>
        <v>3</v>
      </c>
      <c r="S689" s="6">
        <f t="shared" si="53"/>
        <v>3</v>
      </c>
      <c r="T689" s="5">
        <f t="shared" si="54"/>
        <v>1</v>
      </c>
    </row>
    <row r="690" spans="2:20" x14ac:dyDescent="0.25">
      <c r="B690" t="s">
        <v>837</v>
      </c>
      <c r="G690">
        <v>1</v>
      </c>
      <c r="H690">
        <v>1</v>
      </c>
      <c r="I690">
        <v>1</v>
      </c>
      <c r="L690">
        <v>1</v>
      </c>
      <c r="N690">
        <v>4</v>
      </c>
      <c r="O690" s="1">
        <v>4</v>
      </c>
      <c r="P690" s="11">
        <f t="shared" si="50"/>
        <v>0.36363636363636365</v>
      </c>
      <c r="Q690" s="11">
        <f t="shared" si="51"/>
        <v>1.2121212121212121E-2</v>
      </c>
      <c r="R690" s="19">
        <f t="shared" si="52"/>
        <v>1</v>
      </c>
      <c r="S690" s="6">
        <f t="shared" si="53"/>
        <v>1</v>
      </c>
      <c r="T690" s="5">
        <f t="shared" si="54"/>
        <v>1</v>
      </c>
    </row>
    <row r="691" spans="2:20" x14ac:dyDescent="0.25">
      <c r="B691" t="s">
        <v>699</v>
      </c>
      <c r="E691">
        <v>2</v>
      </c>
      <c r="I691">
        <v>1</v>
      </c>
      <c r="L691">
        <v>2</v>
      </c>
      <c r="N691">
        <v>5</v>
      </c>
      <c r="O691" s="1">
        <v>5</v>
      </c>
      <c r="P691" s="11">
        <f t="shared" si="50"/>
        <v>0.45454545454545453</v>
      </c>
      <c r="Q691" s="11">
        <f t="shared" si="51"/>
        <v>1.515151515151515E-2</v>
      </c>
      <c r="R691" s="19">
        <f t="shared" si="52"/>
        <v>1</v>
      </c>
      <c r="S691" s="6">
        <f t="shared" si="53"/>
        <v>1</v>
      </c>
      <c r="T691" s="5">
        <f t="shared" si="54"/>
        <v>1</v>
      </c>
    </row>
    <row r="692" spans="2:20" x14ac:dyDescent="0.25">
      <c r="B692" t="s">
        <v>311</v>
      </c>
      <c r="C692">
        <v>12</v>
      </c>
      <c r="D692">
        <v>9</v>
      </c>
      <c r="E692">
        <v>2</v>
      </c>
      <c r="F692">
        <v>3</v>
      </c>
      <c r="G692">
        <v>8</v>
      </c>
      <c r="H692">
        <v>13</v>
      </c>
      <c r="I692">
        <v>8</v>
      </c>
      <c r="J692">
        <v>8</v>
      </c>
      <c r="K692">
        <v>9</v>
      </c>
      <c r="L692">
        <v>13</v>
      </c>
      <c r="M692">
        <v>7</v>
      </c>
      <c r="N692">
        <v>92</v>
      </c>
      <c r="O692" s="1">
        <v>92</v>
      </c>
      <c r="P692" s="11">
        <f t="shared" si="50"/>
        <v>8.3636363636363633</v>
      </c>
      <c r="Q692" s="11">
        <f t="shared" si="51"/>
        <v>0.27878787878787875</v>
      </c>
      <c r="R692" s="19">
        <f t="shared" si="52"/>
        <v>5</v>
      </c>
      <c r="S692" s="6">
        <f t="shared" si="53"/>
        <v>3</v>
      </c>
      <c r="T692" s="5">
        <f t="shared" si="54"/>
        <v>3</v>
      </c>
    </row>
    <row r="693" spans="2:20" x14ac:dyDescent="0.25">
      <c r="B693" t="s">
        <v>312</v>
      </c>
      <c r="C693">
        <v>8</v>
      </c>
      <c r="D693">
        <v>4</v>
      </c>
      <c r="E693">
        <v>4</v>
      </c>
      <c r="F693">
        <v>4</v>
      </c>
      <c r="G693">
        <v>3</v>
      </c>
      <c r="H693">
        <v>5</v>
      </c>
      <c r="I693">
        <v>4</v>
      </c>
      <c r="J693">
        <v>3</v>
      </c>
      <c r="K693">
        <v>6</v>
      </c>
      <c r="L693">
        <v>6</v>
      </c>
      <c r="M693">
        <v>6</v>
      </c>
      <c r="N693">
        <v>53</v>
      </c>
      <c r="O693" s="1">
        <v>53</v>
      </c>
      <c r="P693" s="11">
        <f t="shared" si="50"/>
        <v>4.8181818181818183</v>
      </c>
      <c r="Q693" s="11">
        <f t="shared" si="51"/>
        <v>0.16060606060606061</v>
      </c>
      <c r="R693" s="19">
        <f t="shared" si="52"/>
        <v>3</v>
      </c>
      <c r="S693" s="6">
        <f t="shared" si="53"/>
        <v>3</v>
      </c>
      <c r="T693" s="5">
        <f t="shared" si="54"/>
        <v>3</v>
      </c>
    </row>
    <row r="694" spans="2:20" x14ac:dyDescent="0.25">
      <c r="B694" t="s">
        <v>313</v>
      </c>
      <c r="C694">
        <v>3</v>
      </c>
      <c r="D694">
        <v>4</v>
      </c>
      <c r="F694">
        <v>0</v>
      </c>
      <c r="G694">
        <v>3</v>
      </c>
      <c r="J694">
        <v>1</v>
      </c>
      <c r="K694">
        <v>6</v>
      </c>
      <c r="L694">
        <v>5</v>
      </c>
      <c r="M694">
        <v>0</v>
      </c>
      <c r="N694">
        <v>22</v>
      </c>
      <c r="O694" s="1">
        <v>22</v>
      </c>
      <c r="P694" s="11">
        <f t="shared" si="50"/>
        <v>2</v>
      </c>
      <c r="Q694" s="11">
        <f t="shared" si="51"/>
        <v>6.6666666666666666E-2</v>
      </c>
      <c r="R694" s="19">
        <f t="shared" si="52"/>
        <v>1</v>
      </c>
      <c r="S694" s="6">
        <f t="shared" si="53"/>
        <v>1</v>
      </c>
      <c r="T694" s="5">
        <f t="shared" si="54"/>
        <v>1</v>
      </c>
    </row>
    <row r="695" spans="2:20" x14ac:dyDescent="0.25">
      <c r="B695" t="s">
        <v>700</v>
      </c>
      <c r="E695">
        <v>4</v>
      </c>
      <c r="G695">
        <v>3</v>
      </c>
      <c r="H695">
        <v>3</v>
      </c>
      <c r="I695">
        <v>2</v>
      </c>
      <c r="K695">
        <v>6</v>
      </c>
      <c r="L695">
        <v>2</v>
      </c>
      <c r="M695">
        <v>3</v>
      </c>
      <c r="N695">
        <v>23</v>
      </c>
      <c r="O695" s="1">
        <v>23</v>
      </c>
      <c r="P695" s="11">
        <f t="shared" si="50"/>
        <v>2.0909090909090908</v>
      </c>
      <c r="Q695" s="11">
        <f t="shared" si="51"/>
        <v>6.9696969696969688E-2</v>
      </c>
      <c r="R695" s="19">
        <f t="shared" si="52"/>
        <v>1</v>
      </c>
      <c r="S695" s="6">
        <f t="shared" si="53"/>
        <v>1</v>
      </c>
      <c r="T695" s="5">
        <f t="shared" si="54"/>
        <v>1</v>
      </c>
    </row>
    <row r="696" spans="2:20" x14ac:dyDescent="0.25">
      <c r="B696" t="s">
        <v>1015</v>
      </c>
      <c r="K696">
        <v>1</v>
      </c>
      <c r="N696">
        <v>1</v>
      </c>
      <c r="O696" s="1">
        <v>1</v>
      </c>
      <c r="P696" s="11">
        <f t="shared" si="50"/>
        <v>9.0909090909090912E-2</v>
      </c>
      <c r="Q696" s="11">
        <f t="shared" si="51"/>
        <v>3.0303030303030303E-3</v>
      </c>
      <c r="R696" s="19">
        <f t="shared" si="52"/>
        <v>1</v>
      </c>
      <c r="S696" s="6">
        <f t="shared" si="53"/>
        <v>1</v>
      </c>
      <c r="T696" s="5">
        <f t="shared" si="54"/>
        <v>1</v>
      </c>
    </row>
    <row r="697" spans="2:20" x14ac:dyDescent="0.25">
      <c r="B697" t="s">
        <v>1016</v>
      </c>
      <c r="K697">
        <v>1</v>
      </c>
      <c r="N697">
        <v>1</v>
      </c>
      <c r="O697" s="1">
        <v>1</v>
      </c>
      <c r="P697" s="11">
        <f t="shared" si="50"/>
        <v>9.0909090909090912E-2</v>
      </c>
      <c r="Q697" s="11">
        <f t="shared" si="51"/>
        <v>3.0303030303030303E-3</v>
      </c>
      <c r="R697" s="19">
        <f t="shared" si="52"/>
        <v>1</v>
      </c>
      <c r="S697" s="6">
        <f t="shared" si="53"/>
        <v>1</v>
      </c>
      <c r="T697" s="5">
        <f t="shared" si="54"/>
        <v>1</v>
      </c>
    </row>
    <row r="698" spans="2:20" x14ac:dyDescent="0.25">
      <c r="B698" t="s">
        <v>314</v>
      </c>
      <c r="C698">
        <v>1</v>
      </c>
      <c r="D698">
        <v>1</v>
      </c>
      <c r="E698">
        <v>5</v>
      </c>
      <c r="F698">
        <v>3</v>
      </c>
      <c r="G698">
        <v>2</v>
      </c>
      <c r="H698">
        <v>5</v>
      </c>
      <c r="I698">
        <v>4</v>
      </c>
      <c r="J698">
        <v>3</v>
      </c>
      <c r="K698">
        <v>2</v>
      </c>
      <c r="L698">
        <v>11</v>
      </c>
      <c r="M698">
        <v>5</v>
      </c>
      <c r="N698">
        <v>42</v>
      </c>
      <c r="O698" s="1">
        <v>42</v>
      </c>
      <c r="P698" s="11">
        <f t="shared" si="50"/>
        <v>3.8181818181818183</v>
      </c>
      <c r="Q698" s="11">
        <f t="shared" si="51"/>
        <v>0.12727272727272729</v>
      </c>
      <c r="R698" s="19">
        <f t="shared" si="52"/>
        <v>3</v>
      </c>
      <c r="S698" s="6">
        <f t="shared" si="53"/>
        <v>3</v>
      </c>
      <c r="T698" s="5">
        <f t="shared" si="54"/>
        <v>1</v>
      </c>
    </row>
    <row r="699" spans="2:20" x14ac:dyDescent="0.25">
      <c r="B699" t="s">
        <v>890</v>
      </c>
      <c r="H699">
        <v>1</v>
      </c>
      <c r="N699">
        <v>1</v>
      </c>
      <c r="O699" s="1">
        <v>1</v>
      </c>
      <c r="P699" s="11">
        <f t="shared" si="50"/>
        <v>9.0909090909090912E-2</v>
      </c>
      <c r="Q699" s="11">
        <f t="shared" si="51"/>
        <v>3.0303030303030303E-3</v>
      </c>
      <c r="R699" s="19">
        <f t="shared" si="52"/>
        <v>1</v>
      </c>
      <c r="S699" s="6">
        <f t="shared" si="53"/>
        <v>1</v>
      </c>
      <c r="T699" s="5">
        <f t="shared" si="54"/>
        <v>1</v>
      </c>
    </row>
    <row r="700" spans="2:20" x14ac:dyDescent="0.25">
      <c r="B700" t="s">
        <v>701</v>
      </c>
      <c r="E700">
        <v>1</v>
      </c>
      <c r="N700">
        <v>1</v>
      </c>
      <c r="O700" s="1">
        <v>1</v>
      </c>
      <c r="P700" s="11">
        <f t="shared" si="50"/>
        <v>9.0909090909090912E-2</v>
      </c>
      <c r="Q700" s="11">
        <f t="shared" si="51"/>
        <v>3.0303030303030303E-3</v>
      </c>
      <c r="R700" s="19">
        <f t="shared" si="52"/>
        <v>1</v>
      </c>
      <c r="S700" s="6">
        <f t="shared" si="53"/>
        <v>1</v>
      </c>
      <c r="T700" s="5">
        <f t="shared" si="54"/>
        <v>1</v>
      </c>
    </row>
    <row r="701" spans="2:20" x14ac:dyDescent="0.25">
      <c r="B701" t="s">
        <v>891</v>
      </c>
      <c r="H701">
        <v>1</v>
      </c>
      <c r="N701">
        <v>1</v>
      </c>
      <c r="O701" s="1">
        <v>1</v>
      </c>
      <c r="P701" s="11">
        <f t="shared" si="50"/>
        <v>9.0909090909090912E-2</v>
      </c>
      <c r="Q701" s="11">
        <f t="shared" si="51"/>
        <v>3.0303030303030303E-3</v>
      </c>
      <c r="R701" s="19">
        <f t="shared" si="52"/>
        <v>1</v>
      </c>
      <c r="S701" s="6">
        <f t="shared" si="53"/>
        <v>1</v>
      </c>
      <c r="T701" s="5">
        <f t="shared" si="54"/>
        <v>1</v>
      </c>
    </row>
    <row r="702" spans="2:20" x14ac:dyDescent="0.25">
      <c r="B702" t="s">
        <v>702</v>
      </c>
      <c r="E702">
        <v>4</v>
      </c>
      <c r="G702">
        <v>10</v>
      </c>
      <c r="H702">
        <v>5</v>
      </c>
      <c r="M702">
        <v>1</v>
      </c>
      <c r="N702">
        <v>20</v>
      </c>
      <c r="O702" s="1">
        <v>20</v>
      </c>
      <c r="P702" s="11">
        <f t="shared" si="50"/>
        <v>1.8181818181818181</v>
      </c>
      <c r="Q702" s="11">
        <f t="shared" si="51"/>
        <v>6.0606060606060601E-2</v>
      </c>
      <c r="R702" s="19">
        <f t="shared" si="52"/>
        <v>1</v>
      </c>
      <c r="S702" s="6">
        <f t="shared" si="53"/>
        <v>1</v>
      </c>
      <c r="T702" s="5">
        <f t="shared" si="54"/>
        <v>1</v>
      </c>
    </row>
    <row r="703" spans="2:20" x14ac:dyDescent="0.25">
      <c r="B703" t="s">
        <v>315</v>
      </c>
      <c r="C703">
        <v>3</v>
      </c>
      <c r="N703">
        <v>3</v>
      </c>
      <c r="O703" s="1">
        <v>3</v>
      </c>
      <c r="P703" s="11">
        <f t="shared" si="50"/>
        <v>0.27272727272727271</v>
      </c>
      <c r="Q703" s="11">
        <f t="shared" si="51"/>
        <v>9.0909090909090905E-3</v>
      </c>
      <c r="R703" s="19">
        <f t="shared" si="52"/>
        <v>1</v>
      </c>
      <c r="S703" s="6">
        <f t="shared" si="53"/>
        <v>1</v>
      </c>
      <c r="T703" s="5">
        <f t="shared" si="54"/>
        <v>1</v>
      </c>
    </row>
    <row r="704" spans="2:20" x14ac:dyDescent="0.25">
      <c r="B704" t="s">
        <v>1097</v>
      </c>
      <c r="M704">
        <v>1</v>
      </c>
      <c r="N704">
        <v>1</v>
      </c>
      <c r="O704" s="1">
        <v>1</v>
      </c>
      <c r="P704" s="11">
        <f t="shared" si="50"/>
        <v>9.0909090909090912E-2</v>
      </c>
      <c r="Q704" s="11">
        <f t="shared" si="51"/>
        <v>3.0303030303030303E-3</v>
      </c>
      <c r="R704" s="19">
        <f t="shared" si="52"/>
        <v>1</v>
      </c>
      <c r="S704" s="6">
        <f t="shared" si="53"/>
        <v>1</v>
      </c>
      <c r="T704" s="5">
        <f t="shared" si="54"/>
        <v>1</v>
      </c>
    </row>
    <row r="705" spans="2:20" x14ac:dyDescent="0.25">
      <c r="B705" t="s">
        <v>1098</v>
      </c>
      <c r="M705">
        <v>2</v>
      </c>
      <c r="N705">
        <v>2</v>
      </c>
      <c r="O705" s="1">
        <v>2</v>
      </c>
      <c r="P705" s="11">
        <f t="shared" si="50"/>
        <v>0.18181818181818182</v>
      </c>
      <c r="Q705" s="11">
        <f t="shared" si="51"/>
        <v>6.0606060606060606E-3</v>
      </c>
      <c r="R705" s="19">
        <f t="shared" si="52"/>
        <v>1</v>
      </c>
      <c r="S705" s="6">
        <f t="shared" si="53"/>
        <v>1</v>
      </c>
      <c r="T705" s="5">
        <f t="shared" si="54"/>
        <v>1</v>
      </c>
    </row>
    <row r="706" spans="2:20" x14ac:dyDescent="0.25">
      <c r="B706" t="s">
        <v>782</v>
      </c>
      <c r="F706">
        <v>1</v>
      </c>
      <c r="G706">
        <v>3</v>
      </c>
      <c r="I706">
        <v>1</v>
      </c>
      <c r="J706">
        <v>3</v>
      </c>
      <c r="K706">
        <v>4</v>
      </c>
      <c r="N706">
        <v>12</v>
      </c>
      <c r="O706" s="1">
        <v>12</v>
      </c>
      <c r="P706" s="11">
        <f t="shared" si="50"/>
        <v>1.0909090909090908</v>
      </c>
      <c r="Q706" s="11">
        <f t="shared" si="51"/>
        <v>3.6363636363636362E-2</v>
      </c>
      <c r="R706" s="19">
        <f t="shared" si="52"/>
        <v>1</v>
      </c>
      <c r="S706" s="6">
        <f t="shared" si="53"/>
        <v>1</v>
      </c>
      <c r="T706" s="5">
        <f t="shared" si="54"/>
        <v>1</v>
      </c>
    </row>
    <row r="707" spans="2:20" x14ac:dyDescent="0.25">
      <c r="B707" t="s">
        <v>316</v>
      </c>
      <c r="C707">
        <v>2</v>
      </c>
      <c r="D707">
        <v>1</v>
      </c>
      <c r="H707">
        <v>1</v>
      </c>
      <c r="N707">
        <v>4</v>
      </c>
      <c r="O707" s="1">
        <v>4</v>
      </c>
      <c r="P707" s="11">
        <f t="shared" si="50"/>
        <v>0.36363636363636365</v>
      </c>
      <c r="Q707" s="11">
        <f t="shared" si="51"/>
        <v>1.2121212121212121E-2</v>
      </c>
      <c r="R707" s="19">
        <f t="shared" si="52"/>
        <v>1</v>
      </c>
      <c r="S707" s="6">
        <f t="shared" si="53"/>
        <v>1</v>
      </c>
      <c r="T707" s="5">
        <f t="shared" si="54"/>
        <v>1</v>
      </c>
    </row>
    <row r="708" spans="2:20" x14ac:dyDescent="0.25">
      <c r="B708" t="s">
        <v>603</v>
      </c>
      <c r="D708">
        <v>1</v>
      </c>
      <c r="I708">
        <v>1</v>
      </c>
      <c r="L708">
        <v>1</v>
      </c>
      <c r="N708">
        <v>3</v>
      </c>
      <c r="O708" s="1">
        <v>3</v>
      </c>
      <c r="P708" s="11">
        <f t="shared" si="50"/>
        <v>0.27272727272727271</v>
      </c>
      <c r="Q708" s="11">
        <f t="shared" si="51"/>
        <v>9.0909090909090905E-3</v>
      </c>
      <c r="R708" s="19">
        <f t="shared" si="52"/>
        <v>1</v>
      </c>
      <c r="S708" s="6">
        <f t="shared" si="53"/>
        <v>1</v>
      </c>
      <c r="T708" s="5">
        <f t="shared" si="54"/>
        <v>1</v>
      </c>
    </row>
    <row r="709" spans="2:20" x14ac:dyDescent="0.25">
      <c r="B709" t="s">
        <v>940</v>
      </c>
      <c r="I709">
        <v>1</v>
      </c>
      <c r="N709">
        <v>1</v>
      </c>
      <c r="O709" s="1">
        <v>1</v>
      </c>
      <c r="P709" s="11">
        <f t="shared" si="50"/>
        <v>9.0909090909090912E-2</v>
      </c>
      <c r="Q709" s="11">
        <f t="shared" si="51"/>
        <v>3.0303030303030303E-3</v>
      </c>
      <c r="R709" s="19">
        <f t="shared" si="52"/>
        <v>1</v>
      </c>
      <c r="S709" s="6">
        <f t="shared" si="53"/>
        <v>1</v>
      </c>
      <c r="T709" s="5">
        <f t="shared" si="54"/>
        <v>1</v>
      </c>
    </row>
    <row r="710" spans="2:20" x14ac:dyDescent="0.25">
      <c r="B710" t="s">
        <v>783</v>
      </c>
      <c r="F710">
        <v>1</v>
      </c>
      <c r="K710">
        <v>2</v>
      </c>
      <c r="N710">
        <v>3</v>
      </c>
      <c r="O710" s="1">
        <v>3</v>
      </c>
      <c r="P710" s="11">
        <f t="shared" ref="P710:P773" si="55">O710/11</f>
        <v>0.27272727272727271</v>
      </c>
      <c r="Q710" s="11">
        <f t="shared" si="51"/>
        <v>9.0909090909090905E-3</v>
      </c>
      <c r="R710" s="19">
        <f t="shared" si="52"/>
        <v>1</v>
      </c>
      <c r="S710" s="6">
        <f t="shared" si="53"/>
        <v>1</v>
      </c>
      <c r="T710" s="5">
        <f t="shared" si="54"/>
        <v>1</v>
      </c>
    </row>
    <row r="711" spans="2:20" x14ac:dyDescent="0.25">
      <c r="B711" t="s">
        <v>317</v>
      </c>
      <c r="C711">
        <v>2</v>
      </c>
      <c r="D711">
        <v>5</v>
      </c>
      <c r="E711">
        <v>4</v>
      </c>
      <c r="F711">
        <v>7</v>
      </c>
      <c r="G711">
        <v>3</v>
      </c>
      <c r="I711">
        <v>3</v>
      </c>
      <c r="J711">
        <v>4</v>
      </c>
      <c r="K711">
        <v>4</v>
      </c>
      <c r="L711">
        <v>3</v>
      </c>
      <c r="M711">
        <v>2</v>
      </c>
      <c r="N711">
        <v>37</v>
      </c>
      <c r="O711" s="1">
        <v>37</v>
      </c>
      <c r="P711" s="11">
        <f t="shared" si="55"/>
        <v>3.3636363636363638</v>
      </c>
      <c r="Q711" s="11">
        <f t="shared" ref="Q711:Q774" si="56">P711/30</f>
        <v>0.11212121212121212</v>
      </c>
      <c r="R711" s="19">
        <f t="shared" ref="R711:R774" si="57">ODD(Q711*14)</f>
        <v>3</v>
      </c>
      <c r="S711" s="6">
        <f t="shared" ref="S711:S774" si="58">ODD(Q711*10.5)</f>
        <v>3</v>
      </c>
      <c r="T711" s="5">
        <f t="shared" ref="T711:T774" si="59">ODD(Q711*7)</f>
        <v>1</v>
      </c>
    </row>
    <row r="712" spans="2:20" x14ac:dyDescent="0.25">
      <c r="B712" t="s">
        <v>318</v>
      </c>
      <c r="C712">
        <v>1</v>
      </c>
      <c r="D712">
        <v>3</v>
      </c>
      <c r="E712">
        <v>4</v>
      </c>
      <c r="F712">
        <v>4</v>
      </c>
      <c r="G712">
        <v>1</v>
      </c>
      <c r="J712">
        <v>2</v>
      </c>
      <c r="K712">
        <v>2</v>
      </c>
      <c r="N712">
        <v>17</v>
      </c>
      <c r="O712" s="1">
        <v>17</v>
      </c>
      <c r="P712" s="11">
        <f t="shared" si="55"/>
        <v>1.5454545454545454</v>
      </c>
      <c r="Q712" s="11">
        <f t="shared" si="56"/>
        <v>5.1515151515151514E-2</v>
      </c>
      <c r="R712" s="19">
        <f t="shared" si="57"/>
        <v>1</v>
      </c>
      <c r="S712" s="6">
        <f t="shared" si="58"/>
        <v>1</v>
      </c>
      <c r="T712" s="5">
        <f t="shared" si="59"/>
        <v>1</v>
      </c>
    </row>
    <row r="713" spans="2:20" x14ac:dyDescent="0.25">
      <c r="B713" t="s">
        <v>319</v>
      </c>
      <c r="C713">
        <v>2</v>
      </c>
      <c r="L713">
        <v>1</v>
      </c>
      <c r="N713">
        <v>3</v>
      </c>
      <c r="O713" s="1">
        <v>3</v>
      </c>
      <c r="P713" s="11">
        <f t="shared" si="55"/>
        <v>0.27272727272727271</v>
      </c>
      <c r="Q713" s="11">
        <f t="shared" si="56"/>
        <v>9.0909090909090905E-3</v>
      </c>
      <c r="R713" s="19">
        <f t="shared" si="57"/>
        <v>1</v>
      </c>
      <c r="S713" s="6">
        <f t="shared" si="58"/>
        <v>1</v>
      </c>
      <c r="T713" s="5">
        <f t="shared" si="59"/>
        <v>1</v>
      </c>
    </row>
    <row r="714" spans="2:20" x14ac:dyDescent="0.25">
      <c r="B714" t="s">
        <v>703</v>
      </c>
      <c r="E714">
        <v>1</v>
      </c>
      <c r="L714">
        <v>2</v>
      </c>
      <c r="M714">
        <v>1</v>
      </c>
      <c r="N714">
        <v>4</v>
      </c>
      <c r="O714" s="1">
        <v>4</v>
      </c>
      <c r="P714" s="11">
        <f t="shared" si="55"/>
        <v>0.36363636363636365</v>
      </c>
      <c r="Q714" s="11">
        <f t="shared" si="56"/>
        <v>1.2121212121212121E-2</v>
      </c>
      <c r="R714" s="19">
        <f t="shared" si="57"/>
        <v>1</v>
      </c>
      <c r="S714" s="6">
        <f t="shared" si="58"/>
        <v>1</v>
      </c>
      <c r="T714" s="5">
        <f t="shared" si="59"/>
        <v>1</v>
      </c>
    </row>
    <row r="715" spans="2:20" x14ac:dyDescent="0.25">
      <c r="B715" t="s">
        <v>941</v>
      </c>
      <c r="I715">
        <v>1</v>
      </c>
      <c r="N715">
        <v>1</v>
      </c>
      <c r="O715" s="1">
        <v>1</v>
      </c>
      <c r="P715" s="11">
        <f t="shared" si="55"/>
        <v>9.0909090909090912E-2</v>
      </c>
      <c r="Q715" s="11">
        <f t="shared" si="56"/>
        <v>3.0303030303030303E-3</v>
      </c>
      <c r="R715" s="19">
        <f t="shared" si="57"/>
        <v>1</v>
      </c>
      <c r="S715" s="6">
        <f t="shared" si="58"/>
        <v>1</v>
      </c>
      <c r="T715" s="5">
        <f t="shared" si="59"/>
        <v>1</v>
      </c>
    </row>
    <row r="716" spans="2:20" x14ac:dyDescent="0.25">
      <c r="B716" t="s">
        <v>320</v>
      </c>
      <c r="C716">
        <v>4</v>
      </c>
      <c r="D716">
        <v>1</v>
      </c>
      <c r="E716">
        <v>1</v>
      </c>
      <c r="F716">
        <v>3</v>
      </c>
      <c r="G716">
        <v>3</v>
      </c>
      <c r="H716">
        <v>3</v>
      </c>
      <c r="I716">
        <v>2</v>
      </c>
      <c r="N716">
        <v>17</v>
      </c>
      <c r="O716" s="1">
        <v>17</v>
      </c>
      <c r="P716" s="11">
        <f t="shared" si="55"/>
        <v>1.5454545454545454</v>
      </c>
      <c r="Q716" s="11">
        <f t="shared" si="56"/>
        <v>5.1515151515151514E-2</v>
      </c>
      <c r="R716" s="19">
        <f t="shared" si="57"/>
        <v>1</v>
      </c>
      <c r="S716" s="6">
        <f t="shared" si="58"/>
        <v>1</v>
      </c>
      <c r="T716" s="5">
        <f t="shared" si="59"/>
        <v>1</v>
      </c>
    </row>
    <row r="717" spans="2:20" x14ac:dyDescent="0.25">
      <c r="B717" t="s">
        <v>784</v>
      </c>
      <c r="F717">
        <v>1</v>
      </c>
      <c r="N717">
        <v>1</v>
      </c>
      <c r="O717" s="1">
        <v>1</v>
      </c>
      <c r="P717" s="11">
        <f t="shared" si="55"/>
        <v>9.0909090909090912E-2</v>
      </c>
      <c r="Q717" s="11">
        <f t="shared" si="56"/>
        <v>3.0303030303030303E-3</v>
      </c>
      <c r="R717" s="19">
        <f t="shared" si="57"/>
        <v>1</v>
      </c>
      <c r="S717" s="6">
        <f t="shared" si="58"/>
        <v>1</v>
      </c>
      <c r="T717" s="5">
        <f t="shared" si="59"/>
        <v>1</v>
      </c>
    </row>
    <row r="718" spans="2:20" x14ac:dyDescent="0.25">
      <c r="B718" t="s">
        <v>321</v>
      </c>
      <c r="C718">
        <v>1</v>
      </c>
      <c r="F718">
        <v>1</v>
      </c>
      <c r="H718">
        <v>1</v>
      </c>
      <c r="J718">
        <v>2</v>
      </c>
      <c r="K718">
        <v>1</v>
      </c>
      <c r="L718">
        <v>2</v>
      </c>
      <c r="N718">
        <v>8</v>
      </c>
      <c r="O718" s="1">
        <v>8</v>
      </c>
      <c r="P718" s="11">
        <f t="shared" si="55"/>
        <v>0.72727272727272729</v>
      </c>
      <c r="Q718" s="11">
        <f t="shared" si="56"/>
        <v>2.4242424242424242E-2</v>
      </c>
      <c r="R718" s="19">
        <f t="shared" si="57"/>
        <v>1</v>
      </c>
      <c r="S718" s="6">
        <f t="shared" si="58"/>
        <v>1</v>
      </c>
      <c r="T718" s="5">
        <f t="shared" si="59"/>
        <v>1</v>
      </c>
    </row>
    <row r="719" spans="2:20" x14ac:dyDescent="0.25">
      <c r="B719" t="s">
        <v>785</v>
      </c>
      <c r="F719">
        <v>1</v>
      </c>
      <c r="G719">
        <v>4</v>
      </c>
      <c r="H719">
        <v>2</v>
      </c>
      <c r="J719">
        <v>1</v>
      </c>
      <c r="K719">
        <v>1</v>
      </c>
      <c r="N719">
        <v>9</v>
      </c>
      <c r="O719" s="1">
        <v>9</v>
      </c>
      <c r="P719" s="11">
        <f t="shared" si="55"/>
        <v>0.81818181818181823</v>
      </c>
      <c r="Q719" s="11">
        <f t="shared" si="56"/>
        <v>2.7272727272727275E-2</v>
      </c>
      <c r="R719" s="19">
        <f t="shared" si="57"/>
        <v>1</v>
      </c>
      <c r="S719" s="6">
        <f t="shared" si="58"/>
        <v>1</v>
      </c>
      <c r="T719" s="5">
        <f t="shared" si="59"/>
        <v>1</v>
      </c>
    </row>
    <row r="720" spans="2:20" x14ac:dyDescent="0.25">
      <c r="B720" t="s">
        <v>704</v>
      </c>
      <c r="E720">
        <v>1</v>
      </c>
      <c r="N720">
        <v>1</v>
      </c>
      <c r="O720" s="1">
        <v>1</v>
      </c>
      <c r="P720" s="11">
        <f t="shared" si="55"/>
        <v>9.0909090909090912E-2</v>
      </c>
      <c r="Q720" s="11">
        <f t="shared" si="56"/>
        <v>3.0303030303030303E-3</v>
      </c>
      <c r="R720" s="19">
        <f t="shared" si="57"/>
        <v>1</v>
      </c>
      <c r="S720" s="6">
        <f t="shared" si="58"/>
        <v>1</v>
      </c>
      <c r="T720" s="5">
        <f t="shared" si="59"/>
        <v>1</v>
      </c>
    </row>
    <row r="721" spans="2:20" x14ac:dyDescent="0.25">
      <c r="B721" t="s">
        <v>705</v>
      </c>
      <c r="E721">
        <v>1</v>
      </c>
      <c r="N721">
        <v>1</v>
      </c>
      <c r="O721" s="1">
        <v>1</v>
      </c>
      <c r="P721" s="11">
        <f t="shared" si="55"/>
        <v>9.0909090909090912E-2</v>
      </c>
      <c r="Q721" s="11">
        <f t="shared" si="56"/>
        <v>3.0303030303030303E-3</v>
      </c>
      <c r="R721" s="19">
        <f t="shared" si="57"/>
        <v>1</v>
      </c>
      <c r="S721" s="6">
        <f t="shared" si="58"/>
        <v>1</v>
      </c>
      <c r="T721" s="5">
        <f t="shared" si="59"/>
        <v>1</v>
      </c>
    </row>
    <row r="722" spans="2:20" x14ac:dyDescent="0.25">
      <c r="B722" t="s">
        <v>322</v>
      </c>
      <c r="C722">
        <v>2</v>
      </c>
      <c r="D722">
        <v>2</v>
      </c>
      <c r="F722">
        <v>1</v>
      </c>
      <c r="G722">
        <v>1</v>
      </c>
      <c r="H722">
        <v>3</v>
      </c>
      <c r="I722">
        <v>1</v>
      </c>
      <c r="J722">
        <v>4</v>
      </c>
      <c r="K722">
        <v>1</v>
      </c>
      <c r="L722">
        <v>2</v>
      </c>
      <c r="M722">
        <v>1</v>
      </c>
      <c r="N722">
        <v>18</v>
      </c>
      <c r="O722" s="1">
        <v>18</v>
      </c>
      <c r="P722" s="11">
        <f t="shared" si="55"/>
        <v>1.6363636363636365</v>
      </c>
      <c r="Q722" s="11">
        <f t="shared" si="56"/>
        <v>5.454545454545455E-2</v>
      </c>
      <c r="R722" s="19">
        <f t="shared" si="57"/>
        <v>1</v>
      </c>
      <c r="S722" s="6">
        <f t="shared" si="58"/>
        <v>1</v>
      </c>
      <c r="T722" s="5">
        <f t="shared" si="59"/>
        <v>1</v>
      </c>
    </row>
    <row r="723" spans="2:20" x14ac:dyDescent="0.25">
      <c r="B723" t="s">
        <v>942</v>
      </c>
      <c r="I723">
        <v>5</v>
      </c>
      <c r="N723">
        <v>5</v>
      </c>
      <c r="O723" s="1">
        <v>5</v>
      </c>
      <c r="P723" s="11">
        <f t="shared" si="55"/>
        <v>0.45454545454545453</v>
      </c>
      <c r="Q723" s="11">
        <f t="shared" si="56"/>
        <v>1.515151515151515E-2</v>
      </c>
      <c r="R723" s="19">
        <f t="shared" si="57"/>
        <v>1</v>
      </c>
      <c r="S723" s="6">
        <f t="shared" si="58"/>
        <v>1</v>
      </c>
      <c r="T723" s="5">
        <f t="shared" si="59"/>
        <v>1</v>
      </c>
    </row>
    <row r="724" spans="2:20" x14ac:dyDescent="0.25">
      <c r="B724" t="s">
        <v>604</v>
      </c>
      <c r="D724">
        <v>1</v>
      </c>
      <c r="L724">
        <v>5</v>
      </c>
      <c r="M724">
        <v>1</v>
      </c>
      <c r="N724">
        <v>7</v>
      </c>
      <c r="O724" s="1">
        <v>7</v>
      </c>
      <c r="P724" s="11">
        <f t="shared" si="55"/>
        <v>0.63636363636363635</v>
      </c>
      <c r="Q724" s="11">
        <f t="shared" si="56"/>
        <v>2.1212121212121213E-2</v>
      </c>
      <c r="R724" s="19">
        <f t="shared" si="57"/>
        <v>1</v>
      </c>
      <c r="S724" s="6">
        <f t="shared" si="58"/>
        <v>1</v>
      </c>
      <c r="T724" s="5">
        <f t="shared" si="59"/>
        <v>1</v>
      </c>
    </row>
    <row r="725" spans="2:20" x14ac:dyDescent="0.25">
      <c r="B725" t="s">
        <v>706</v>
      </c>
      <c r="E725">
        <v>1</v>
      </c>
      <c r="F725">
        <v>1</v>
      </c>
      <c r="H725">
        <v>2</v>
      </c>
      <c r="I725">
        <v>1</v>
      </c>
      <c r="K725">
        <v>1</v>
      </c>
      <c r="L725">
        <v>1</v>
      </c>
      <c r="N725">
        <v>7</v>
      </c>
      <c r="O725" s="1">
        <v>7</v>
      </c>
      <c r="P725" s="11">
        <f t="shared" si="55"/>
        <v>0.63636363636363635</v>
      </c>
      <c r="Q725" s="11">
        <f t="shared" si="56"/>
        <v>2.1212121212121213E-2</v>
      </c>
      <c r="R725" s="19">
        <f t="shared" si="57"/>
        <v>1</v>
      </c>
      <c r="S725" s="6">
        <f t="shared" si="58"/>
        <v>1</v>
      </c>
      <c r="T725" s="5">
        <f t="shared" si="59"/>
        <v>1</v>
      </c>
    </row>
    <row r="726" spans="2:20" x14ac:dyDescent="0.25">
      <c r="B726" t="s">
        <v>1017</v>
      </c>
      <c r="K726">
        <v>1</v>
      </c>
      <c r="N726">
        <v>1</v>
      </c>
      <c r="O726" s="1">
        <v>1</v>
      </c>
      <c r="P726" s="11">
        <f t="shared" si="55"/>
        <v>9.0909090909090912E-2</v>
      </c>
      <c r="Q726" s="11">
        <f t="shared" si="56"/>
        <v>3.0303030303030303E-3</v>
      </c>
      <c r="R726" s="19">
        <f t="shared" si="57"/>
        <v>1</v>
      </c>
      <c r="S726" s="6">
        <f t="shared" si="58"/>
        <v>1</v>
      </c>
      <c r="T726" s="5">
        <f t="shared" si="59"/>
        <v>1</v>
      </c>
    </row>
    <row r="727" spans="2:20" x14ac:dyDescent="0.25">
      <c r="B727" t="s">
        <v>605</v>
      </c>
      <c r="D727">
        <v>2</v>
      </c>
      <c r="F727">
        <v>1</v>
      </c>
      <c r="G727">
        <v>1</v>
      </c>
      <c r="H727">
        <v>3</v>
      </c>
      <c r="I727">
        <v>1</v>
      </c>
      <c r="J727">
        <v>1</v>
      </c>
      <c r="L727">
        <v>4</v>
      </c>
      <c r="M727">
        <v>1</v>
      </c>
      <c r="N727">
        <v>14</v>
      </c>
      <c r="O727" s="1">
        <v>14</v>
      </c>
      <c r="P727" s="11">
        <f t="shared" si="55"/>
        <v>1.2727272727272727</v>
      </c>
      <c r="Q727" s="11">
        <f t="shared" si="56"/>
        <v>4.2424242424242427E-2</v>
      </c>
      <c r="R727" s="19">
        <f t="shared" si="57"/>
        <v>1</v>
      </c>
      <c r="S727" s="6">
        <f t="shared" si="58"/>
        <v>1</v>
      </c>
      <c r="T727" s="5">
        <f t="shared" si="59"/>
        <v>1</v>
      </c>
    </row>
    <row r="728" spans="2:20" x14ac:dyDescent="0.25">
      <c r="B728" t="s">
        <v>323</v>
      </c>
      <c r="C728">
        <v>2</v>
      </c>
      <c r="D728">
        <v>1</v>
      </c>
      <c r="F728">
        <v>2</v>
      </c>
      <c r="K728">
        <v>2</v>
      </c>
      <c r="L728">
        <v>1</v>
      </c>
      <c r="M728">
        <v>4</v>
      </c>
      <c r="N728">
        <v>12</v>
      </c>
      <c r="O728" s="1">
        <v>12</v>
      </c>
      <c r="P728" s="11">
        <f t="shared" si="55"/>
        <v>1.0909090909090908</v>
      </c>
      <c r="Q728" s="11">
        <f t="shared" si="56"/>
        <v>3.6363636363636362E-2</v>
      </c>
      <c r="R728" s="19">
        <f t="shared" si="57"/>
        <v>1</v>
      </c>
      <c r="S728" s="6">
        <f t="shared" si="58"/>
        <v>1</v>
      </c>
      <c r="T728" s="5">
        <f t="shared" si="59"/>
        <v>1</v>
      </c>
    </row>
    <row r="729" spans="2:20" x14ac:dyDescent="0.25">
      <c r="B729" t="s">
        <v>786</v>
      </c>
      <c r="F729">
        <v>5</v>
      </c>
      <c r="G729">
        <v>4</v>
      </c>
      <c r="K729">
        <v>5</v>
      </c>
      <c r="M729">
        <v>1</v>
      </c>
      <c r="N729">
        <v>15</v>
      </c>
      <c r="O729" s="1">
        <v>15</v>
      </c>
      <c r="P729" s="11">
        <f t="shared" si="55"/>
        <v>1.3636363636363635</v>
      </c>
      <c r="Q729" s="11">
        <f t="shared" si="56"/>
        <v>4.5454545454545449E-2</v>
      </c>
      <c r="R729" s="19">
        <f t="shared" si="57"/>
        <v>1</v>
      </c>
      <c r="S729" s="6">
        <f t="shared" si="58"/>
        <v>1</v>
      </c>
      <c r="T729" s="5">
        <f t="shared" si="59"/>
        <v>1</v>
      </c>
    </row>
    <row r="730" spans="2:20" x14ac:dyDescent="0.25">
      <c r="B730" t="s">
        <v>707</v>
      </c>
      <c r="E730">
        <v>1</v>
      </c>
      <c r="N730">
        <v>1</v>
      </c>
      <c r="O730" s="1">
        <v>1</v>
      </c>
      <c r="P730" s="11">
        <f t="shared" si="55"/>
        <v>9.0909090909090912E-2</v>
      </c>
      <c r="Q730" s="11">
        <f t="shared" si="56"/>
        <v>3.0303030303030303E-3</v>
      </c>
      <c r="R730" s="19">
        <f t="shared" si="57"/>
        <v>1</v>
      </c>
      <c r="S730" s="6">
        <f t="shared" si="58"/>
        <v>1</v>
      </c>
      <c r="T730" s="5">
        <f t="shared" si="59"/>
        <v>1</v>
      </c>
    </row>
    <row r="731" spans="2:20" x14ac:dyDescent="0.25">
      <c r="B731" t="s">
        <v>324</v>
      </c>
      <c r="C731">
        <v>1</v>
      </c>
      <c r="I731">
        <v>0</v>
      </c>
      <c r="J731">
        <v>1</v>
      </c>
      <c r="N731">
        <v>2</v>
      </c>
      <c r="O731" s="1">
        <v>2</v>
      </c>
      <c r="P731" s="11">
        <f t="shared" si="55"/>
        <v>0.18181818181818182</v>
      </c>
      <c r="Q731" s="11">
        <f t="shared" si="56"/>
        <v>6.0606060606060606E-3</v>
      </c>
      <c r="R731" s="19">
        <f t="shared" si="57"/>
        <v>1</v>
      </c>
      <c r="S731" s="6">
        <f t="shared" si="58"/>
        <v>1</v>
      </c>
      <c r="T731" s="5">
        <f t="shared" si="59"/>
        <v>1</v>
      </c>
    </row>
    <row r="732" spans="2:20" x14ac:dyDescent="0.25">
      <c r="B732" t="s">
        <v>975</v>
      </c>
      <c r="J732">
        <v>1</v>
      </c>
      <c r="N732">
        <v>1</v>
      </c>
      <c r="O732" s="1">
        <v>1</v>
      </c>
      <c r="P732" s="11">
        <f t="shared" si="55"/>
        <v>9.0909090909090912E-2</v>
      </c>
      <c r="Q732" s="11">
        <f t="shared" si="56"/>
        <v>3.0303030303030303E-3</v>
      </c>
      <c r="R732" s="19">
        <f t="shared" si="57"/>
        <v>1</v>
      </c>
      <c r="S732" s="6">
        <f t="shared" si="58"/>
        <v>1</v>
      </c>
      <c r="T732" s="5">
        <f t="shared" si="59"/>
        <v>1</v>
      </c>
    </row>
    <row r="733" spans="2:20" x14ac:dyDescent="0.25">
      <c r="B733" t="s">
        <v>708</v>
      </c>
      <c r="E733">
        <v>1</v>
      </c>
      <c r="N733">
        <v>1</v>
      </c>
      <c r="O733" s="1">
        <v>1</v>
      </c>
      <c r="P733" s="11">
        <f t="shared" si="55"/>
        <v>9.0909090909090912E-2</v>
      </c>
      <c r="Q733" s="11">
        <f t="shared" si="56"/>
        <v>3.0303030303030303E-3</v>
      </c>
      <c r="R733" s="19">
        <f t="shared" si="57"/>
        <v>1</v>
      </c>
      <c r="S733" s="6">
        <f t="shared" si="58"/>
        <v>1</v>
      </c>
      <c r="T733" s="5">
        <f t="shared" si="59"/>
        <v>1</v>
      </c>
    </row>
    <row r="734" spans="2:20" x14ac:dyDescent="0.25">
      <c r="B734" t="s">
        <v>943</v>
      </c>
      <c r="I734">
        <v>1</v>
      </c>
      <c r="N734">
        <v>1</v>
      </c>
      <c r="O734" s="1">
        <v>1</v>
      </c>
      <c r="P734" s="11">
        <f t="shared" si="55"/>
        <v>9.0909090909090912E-2</v>
      </c>
      <c r="Q734" s="11">
        <f t="shared" si="56"/>
        <v>3.0303030303030303E-3</v>
      </c>
      <c r="R734" s="19">
        <f t="shared" si="57"/>
        <v>1</v>
      </c>
      <c r="S734" s="6">
        <f t="shared" si="58"/>
        <v>1</v>
      </c>
      <c r="T734" s="5">
        <f t="shared" si="59"/>
        <v>1</v>
      </c>
    </row>
    <row r="735" spans="2:20" x14ac:dyDescent="0.25">
      <c r="B735" t="s">
        <v>325</v>
      </c>
      <c r="C735">
        <v>14</v>
      </c>
      <c r="D735">
        <v>13</v>
      </c>
      <c r="E735">
        <v>1</v>
      </c>
      <c r="H735">
        <v>1</v>
      </c>
      <c r="I735">
        <v>4</v>
      </c>
      <c r="K735">
        <v>0</v>
      </c>
      <c r="L735">
        <v>0</v>
      </c>
      <c r="N735">
        <v>33</v>
      </c>
      <c r="O735" s="1">
        <v>33</v>
      </c>
      <c r="P735" s="11">
        <f t="shared" si="55"/>
        <v>3</v>
      </c>
      <c r="Q735" s="11">
        <f t="shared" si="56"/>
        <v>0.1</v>
      </c>
      <c r="R735" s="19">
        <f t="shared" si="57"/>
        <v>3</v>
      </c>
      <c r="S735" s="6">
        <f t="shared" si="58"/>
        <v>3</v>
      </c>
      <c r="T735" s="5">
        <f t="shared" si="59"/>
        <v>1</v>
      </c>
    </row>
    <row r="736" spans="2:20" x14ac:dyDescent="0.25">
      <c r="B736" t="s">
        <v>326</v>
      </c>
      <c r="C736">
        <v>2</v>
      </c>
      <c r="D736">
        <v>1</v>
      </c>
      <c r="F736">
        <v>2</v>
      </c>
      <c r="H736">
        <v>0</v>
      </c>
      <c r="J736">
        <v>1</v>
      </c>
      <c r="L736">
        <v>3</v>
      </c>
      <c r="M736">
        <v>1</v>
      </c>
      <c r="N736">
        <v>10</v>
      </c>
      <c r="O736" s="1">
        <v>10</v>
      </c>
      <c r="P736" s="11">
        <f t="shared" si="55"/>
        <v>0.90909090909090906</v>
      </c>
      <c r="Q736" s="11">
        <f t="shared" si="56"/>
        <v>3.03030303030303E-2</v>
      </c>
      <c r="R736" s="19">
        <f t="shared" si="57"/>
        <v>1</v>
      </c>
      <c r="S736" s="6">
        <f t="shared" si="58"/>
        <v>1</v>
      </c>
      <c r="T736" s="5">
        <f t="shared" si="59"/>
        <v>1</v>
      </c>
    </row>
    <row r="737" spans="2:20" x14ac:dyDescent="0.25">
      <c r="B737" t="s">
        <v>944</v>
      </c>
      <c r="I737">
        <v>1</v>
      </c>
      <c r="K737">
        <v>1</v>
      </c>
      <c r="L737">
        <v>3</v>
      </c>
      <c r="M737">
        <v>1</v>
      </c>
      <c r="N737">
        <v>6</v>
      </c>
      <c r="O737" s="1">
        <v>6</v>
      </c>
      <c r="P737" s="11">
        <f t="shared" si="55"/>
        <v>0.54545454545454541</v>
      </c>
      <c r="Q737" s="11">
        <f t="shared" si="56"/>
        <v>1.8181818181818181E-2</v>
      </c>
      <c r="R737" s="19">
        <f t="shared" si="57"/>
        <v>1</v>
      </c>
      <c r="S737" s="6">
        <f t="shared" si="58"/>
        <v>1</v>
      </c>
      <c r="T737" s="5">
        <f t="shared" si="59"/>
        <v>1</v>
      </c>
    </row>
    <row r="738" spans="2:20" x14ac:dyDescent="0.25">
      <c r="B738" t="s">
        <v>327</v>
      </c>
      <c r="C738">
        <v>5</v>
      </c>
      <c r="D738">
        <v>6</v>
      </c>
      <c r="E738">
        <v>6</v>
      </c>
      <c r="F738">
        <v>2</v>
      </c>
      <c r="G738">
        <v>5</v>
      </c>
      <c r="H738">
        <v>12</v>
      </c>
      <c r="I738">
        <v>6</v>
      </c>
      <c r="J738">
        <v>8</v>
      </c>
      <c r="K738">
        <v>4</v>
      </c>
      <c r="L738">
        <v>11</v>
      </c>
      <c r="M738">
        <v>11</v>
      </c>
      <c r="N738">
        <v>76</v>
      </c>
      <c r="O738" s="1">
        <v>76</v>
      </c>
      <c r="P738" s="11">
        <f t="shared" si="55"/>
        <v>6.9090909090909092</v>
      </c>
      <c r="Q738" s="11">
        <f t="shared" si="56"/>
        <v>0.23030303030303031</v>
      </c>
      <c r="R738" s="19">
        <f t="shared" si="57"/>
        <v>5</v>
      </c>
      <c r="S738" s="6">
        <f t="shared" si="58"/>
        <v>3</v>
      </c>
      <c r="T738" s="5">
        <f t="shared" si="59"/>
        <v>3</v>
      </c>
    </row>
    <row r="739" spans="2:20" x14ac:dyDescent="0.25">
      <c r="B739" t="s">
        <v>838</v>
      </c>
      <c r="G739">
        <v>50</v>
      </c>
      <c r="N739">
        <v>50</v>
      </c>
      <c r="O739" s="1">
        <v>50</v>
      </c>
      <c r="P739" s="11">
        <f t="shared" si="55"/>
        <v>4.5454545454545459</v>
      </c>
      <c r="Q739" s="11">
        <f t="shared" si="56"/>
        <v>0.15151515151515152</v>
      </c>
      <c r="R739" s="19">
        <f t="shared" si="57"/>
        <v>3</v>
      </c>
      <c r="S739" s="6">
        <f t="shared" si="58"/>
        <v>3</v>
      </c>
      <c r="T739" s="5">
        <f t="shared" si="59"/>
        <v>3</v>
      </c>
    </row>
    <row r="740" spans="2:20" x14ac:dyDescent="0.25">
      <c r="B740" t="s">
        <v>328</v>
      </c>
      <c r="C740">
        <v>6</v>
      </c>
      <c r="E740">
        <v>2</v>
      </c>
      <c r="F740">
        <v>1</v>
      </c>
      <c r="G740">
        <v>2</v>
      </c>
      <c r="H740">
        <v>2</v>
      </c>
      <c r="I740">
        <v>1</v>
      </c>
      <c r="N740">
        <v>14</v>
      </c>
      <c r="O740" s="1">
        <v>14</v>
      </c>
      <c r="P740" s="11">
        <f t="shared" si="55"/>
        <v>1.2727272727272727</v>
      </c>
      <c r="Q740" s="11">
        <f t="shared" si="56"/>
        <v>4.2424242424242427E-2</v>
      </c>
      <c r="R740" s="19">
        <f t="shared" si="57"/>
        <v>1</v>
      </c>
      <c r="S740" s="6">
        <f t="shared" si="58"/>
        <v>1</v>
      </c>
      <c r="T740" s="5">
        <f t="shared" si="59"/>
        <v>1</v>
      </c>
    </row>
    <row r="741" spans="2:20" x14ac:dyDescent="0.25">
      <c r="B741" t="s">
        <v>329</v>
      </c>
      <c r="C741">
        <v>3</v>
      </c>
      <c r="E741">
        <v>3</v>
      </c>
      <c r="G741">
        <v>3</v>
      </c>
      <c r="H741">
        <v>3</v>
      </c>
      <c r="J741">
        <v>3</v>
      </c>
      <c r="K741">
        <v>3</v>
      </c>
      <c r="L741">
        <v>2</v>
      </c>
      <c r="M741">
        <v>2</v>
      </c>
      <c r="N741">
        <v>22</v>
      </c>
      <c r="O741" s="1">
        <v>22</v>
      </c>
      <c r="P741" s="11">
        <f t="shared" si="55"/>
        <v>2</v>
      </c>
      <c r="Q741" s="11">
        <f t="shared" si="56"/>
        <v>6.6666666666666666E-2</v>
      </c>
      <c r="R741" s="19">
        <f t="shared" si="57"/>
        <v>1</v>
      </c>
      <c r="S741" s="6">
        <f t="shared" si="58"/>
        <v>1</v>
      </c>
      <c r="T741" s="5">
        <f t="shared" si="59"/>
        <v>1</v>
      </c>
    </row>
    <row r="742" spans="2:20" x14ac:dyDescent="0.25">
      <c r="B742" t="s">
        <v>787</v>
      </c>
      <c r="F742">
        <v>1</v>
      </c>
      <c r="M742">
        <v>3</v>
      </c>
      <c r="N742">
        <v>4</v>
      </c>
      <c r="O742" s="1">
        <v>4</v>
      </c>
      <c r="P742" s="11">
        <f t="shared" si="55"/>
        <v>0.36363636363636365</v>
      </c>
      <c r="Q742" s="11">
        <f t="shared" si="56"/>
        <v>1.2121212121212121E-2</v>
      </c>
      <c r="R742" s="19">
        <f t="shared" si="57"/>
        <v>1</v>
      </c>
      <c r="S742" s="6">
        <f t="shared" si="58"/>
        <v>1</v>
      </c>
      <c r="T742" s="5">
        <f t="shared" si="59"/>
        <v>1</v>
      </c>
    </row>
    <row r="743" spans="2:20" x14ac:dyDescent="0.25">
      <c r="B743" t="s">
        <v>330</v>
      </c>
      <c r="C743">
        <v>200</v>
      </c>
      <c r="D743">
        <v>109</v>
      </c>
      <c r="E743">
        <v>6</v>
      </c>
      <c r="F743">
        <v>49</v>
      </c>
      <c r="G743">
        <v>68</v>
      </c>
      <c r="H743">
        <v>69</v>
      </c>
      <c r="I743">
        <v>65</v>
      </c>
      <c r="J743">
        <v>41</v>
      </c>
      <c r="K743">
        <v>30</v>
      </c>
      <c r="L743">
        <v>101</v>
      </c>
      <c r="M743">
        <v>18</v>
      </c>
      <c r="N743">
        <v>756</v>
      </c>
      <c r="O743" s="1">
        <v>756</v>
      </c>
      <c r="P743" s="11">
        <f t="shared" si="55"/>
        <v>68.727272727272734</v>
      </c>
      <c r="Q743" s="11">
        <f t="shared" si="56"/>
        <v>2.290909090909091</v>
      </c>
      <c r="R743" s="19">
        <f t="shared" si="57"/>
        <v>33</v>
      </c>
      <c r="S743" s="6">
        <f t="shared" si="58"/>
        <v>25</v>
      </c>
      <c r="T743" s="5">
        <f t="shared" si="59"/>
        <v>17</v>
      </c>
    </row>
    <row r="744" spans="2:20" x14ac:dyDescent="0.25">
      <c r="B744" t="s">
        <v>1099</v>
      </c>
      <c r="M744">
        <v>1</v>
      </c>
      <c r="N744">
        <v>1</v>
      </c>
      <c r="O744" s="1">
        <v>1</v>
      </c>
      <c r="P744" s="11">
        <f t="shared" si="55"/>
        <v>9.0909090909090912E-2</v>
      </c>
      <c r="Q744" s="11">
        <f t="shared" si="56"/>
        <v>3.0303030303030303E-3</v>
      </c>
      <c r="R744" s="19">
        <f t="shared" si="57"/>
        <v>1</v>
      </c>
      <c r="S744" s="6">
        <f t="shared" si="58"/>
        <v>1</v>
      </c>
      <c r="T744" s="5">
        <f t="shared" si="59"/>
        <v>1</v>
      </c>
    </row>
    <row r="745" spans="2:20" x14ac:dyDescent="0.25">
      <c r="B745" t="s">
        <v>331</v>
      </c>
      <c r="C745">
        <v>2</v>
      </c>
      <c r="N745">
        <v>2</v>
      </c>
      <c r="O745" s="1">
        <v>2</v>
      </c>
      <c r="P745" s="11">
        <f t="shared" si="55"/>
        <v>0.18181818181818182</v>
      </c>
      <c r="Q745" s="11">
        <f t="shared" si="56"/>
        <v>6.0606060606060606E-3</v>
      </c>
      <c r="R745" s="19">
        <f t="shared" si="57"/>
        <v>1</v>
      </c>
      <c r="S745" s="6">
        <f t="shared" si="58"/>
        <v>1</v>
      </c>
      <c r="T745" s="5">
        <f t="shared" si="59"/>
        <v>1</v>
      </c>
    </row>
    <row r="746" spans="2:20" x14ac:dyDescent="0.25">
      <c r="B746" t="s">
        <v>332</v>
      </c>
      <c r="C746">
        <v>2</v>
      </c>
      <c r="D746">
        <v>7</v>
      </c>
      <c r="E746">
        <v>2</v>
      </c>
      <c r="F746">
        <v>5</v>
      </c>
      <c r="G746">
        <v>2</v>
      </c>
      <c r="H746">
        <v>2</v>
      </c>
      <c r="I746">
        <v>1</v>
      </c>
      <c r="J746">
        <v>10</v>
      </c>
      <c r="K746">
        <v>3</v>
      </c>
      <c r="L746">
        <v>4</v>
      </c>
      <c r="M746">
        <v>3</v>
      </c>
      <c r="N746">
        <v>41</v>
      </c>
      <c r="O746" s="1">
        <v>41</v>
      </c>
      <c r="P746" s="11">
        <f t="shared" si="55"/>
        <v>3.7272727272727271</v>
      </c>
      <c r="Q746" s="11">
        <f t="shared" si="56"/>
        <v>0.12424242424242424</v>
      </c>
      <c r="R746" s="19">
        <f t="shared" si="57"/>
        <v>3</v>
      </c>
      <c r="S746" s="6">
        <f t="shared" si="58"/>
        <v>3</v>
      </c>
      <c r="T746" s="5">
        <f t="shared" si="59"/>
        <v>1</v>
      </c>
    </row>
    <row r="747" spans="2:20" x14ac:dyDescent="0.25">
      <c r="B747" t="s">
        <v>333</v>
      </c>
      <c r="C747">
        <v>2</v>
      </c>
      <c r="N747">
        <v>2</v>
      </c>
      <c r="O747" s="1">
        <v>2</v>
      </c>
      <c r="P747" s="11">
        <f t="shared" si="55"/>
        <v>0.18181818181818182</v>
      </c>
      <c r="Q747" s="11">
        <f t="shared" si="56"/>
        <v>6.0606060606060606E-3</v>
      </c>
      <c r="R747" s="19">
        <f t="shared" si="57"/>
        <v>1</v>
      </c>
      <c r="S747" s="6">
        <f t="shared" si="58"/>
        <v>1</v>
      </c>
      <c r="T747" s="5">
        <f t="shared" si="59"/>
        <v>1</v>
      </c>
    </row>
    <row r="748" spans="2:20" x14ac:dyDescent="0.25">
      <c r="B748" t="s">
        <v>1018</v>
      </c>
      <c r="K748">
        <v>1</v>
      </c>
      <c r="N748">
        <v>1</v>
      </c>
      <c r="O748" s="1">
        <v>1</v>
      </c>
      <c r="P748" s="11">
        <f t="shared" si="55"/>
        <v>9.0909090909090912E-2</v>
      </c>
      <c r="Q748" s="11">
        <f t="shared" si="56"/>
        <v>3.0303030303030303E-3</v>
      </c>
      <c r="R748" s="19">
        <f t="shared" si="57"/>
        <v>1</v>
      </c>
      <c r="S748" s="6">
        <f t="shared" si="58"/>
        <v>1</v>
      </c>
      <c r="T748" s="5">
        <f t="shared" si="59"/>
        <v>1</v>
      </c>
    </row>
    <row r="749" spans="2:20" x14ac:dyDescent="0.25">
      <c r="B749" t="s">
        <v>976</v>
      </c>
      <c r="J749">
        <v>1</v>
      </c>
      <c r="M749">
        <v>1</v>
      </c>
      <c r="N749">
        <v>2</v>
      </c>
      <c r="O749" s="1">
        <v>2</v>
      </c>
      <c r="P749" s="11">
        <f t="shared" si="55"/>
        <v>0.18181818181818182</v>
      </c>
      <c r="Q749" s="11">
        <f t="shared" si="56"/>
        <v>6.0606060606060606E-3</v>
      </c>
      <c r="R749" s="19">
        <f t="shared" si="57"/>
        <v>1</v>
      </c>
      <c r="S749" s="6">
        <f t="shared" si="58"/>
        <v>1</v>
      </c>
      <c r="T749" s="5">
        <f t="shared" si="59"/>
        <v>1</v>
      </c>
    </row>
    <row r="750" spans="2:20" x14ac:dyDescent="0.25">
      <c r="B750" t="s">
        <v>892</v>
      </c>
      <c r="H750">
        <v>1</v>
      </c>
      <c r="N750">
        <v>1</v>
      </c>
      <c r="O750" s="1">
        <v>1</v>
      </c>
      <c r="P750" s="11">
        <f t="shared" si="55"/>
        <v>9.0909090909090912E-2</v>
      </c>
      <c r="Q750" s="11">
        <f t="shared" si="56"/>
        <v>3.0303030303030303E-3</v>
      </c>
      <c r="R750" s="19">
        <f t="shared" si="57"/>
        <v>1</v>
      </c>
      <c r="S750" s="6">
        <f t="shared" si="58"/>
        <v>1</v>
      </c>
      <c r="T750" s="5">
        <f t="shared" si="59"/>
        <v>1</v>
      </c>
    </row>
    <row r="751" spans="2:20" x14ac:dyDescent="0.25">
      <c r="B751" t="s">
        <v>709</v>
      </c>
      <c r="E751">
        <v>2</v>
      </c>
      <c r="F751">
        <v>1</v>
      </c>
      <c r="G751">
        <v>2</v>
      </c>
      <c r="J751">
        <v>3</v>
      </c>
      <c r="M751">
        <v>2</v>
      </c>
      <c r="N751">
        <v>10</v>
      </c>
      <c r="O751" s="1">
        <v>10</v>
      </c>
      <c r="P751" s="11">
        <f t="shared" si="55"/>
        <v>0.90909090909090906</v>
      </c>
      <c r="Q751" s="11">
        <f t="shared" si="56"/>
        <v>3.03030303030303E-2</v>
      </c>
      <c r="R751" s="19">
        <f t="shared" si="57"/>
        <v>1</v>
      </c>
      <c r="S751" s="6">
        <f t="shared" si="58"/>
        <v>1</v>
      </c>
      <c r="T751" s="5">
        <f t="shared" si="59"/>
        <v>1</v>
      </c>
    </row>
    <row r="752" spans="2:20" x14ac:dyDescent="0.25">
      <c r="B752" t="s">
        <v>334</v>
      </c>
      <c r="C752">
        <v>3</v>
      </c>
      <c r="E752">
        <v>1</v>
      </c>
      <c r="G752">
        <v>2</v>
      </c>
      <c r="H752">
        <v>2</v>
      </c>
      <c r="J752">
        <v>1</v>
      </c>
      <c r="K752">
        <v>3</v>
      </c>
      <c r="L752">
        <v>3</v>
      </c>
      <c r="M752">
        <v>4</v>
      </c>
      <c r="N752">
        <v>19</v>
      </c>
      <c r="O752" s="1">
        <v>19</v>
      </c>
      <c r="P752" s="11">
        <f t="shared" si="55"/>
        <v>1.7272727272727273</v>
      </c>
      <c r="Q752" s="11">
        <f t="shared" si="56"/>
        <v>5.7575757575757579E-2</v>
      </c>
      <c r="R752" s="19">
        <f t="shared" si="57"/>
        <v>1</v>
      </c>
      <c r="S752" s="6">
        <f t="shared" si="58"/>
        <v>1</v>
      </c>
      <c r="T752" s="5">
        <f t="shared" si="59"/>
        <v>1</v>
      </c>
    </row>
    <row r="753" spans="2:20" x14ac:dyDescent="0.25">
      <c r="B753" t="s">
        <v>1019</v>
      </c>
      <c r="K753">
        <v>1</v>
      </c>
      <c r="N753">
        <v>1</v>
      </c>
      <c r="O753" s="1">
        <v>1</v>
      </c>
      <c r="P753" s="11">
        <f t="shared" si="55"/>
        <v>9.0909090909090912E-2</v>
      </c>
      <c r="Q753" s="11">
        <f t="shared" si="56"/>
        <v>3.0303030303030303E-3</v>
      </c>
      <c r="R753" s="19">
        <f t="shared" si="57"/>
        <v>1</v>
      </c>
      <c r="S753" s="6">
        <f t="shared" si="58"/>
        <v>1</v>
      </c>
      <c r="T753" s="5">
        <f t="shared" si="59"/>
        <v>1</v>
      </c>
    </row>
    <row r="754" spans="2:20" x14ac:dyDescent="0.25">
      <c r="B754" t="s">
        <v>606</v>
      </c>
      <c r="D754">
        <v>1</v>
      </c>
      <c r="N754">
        <v>1</v>
      </c>
      <c r="O754" s="1">
        <v>1</v>
      </c>
      <c r="P754" s="11">
        <f t="shared" si="55"/>
        <v>9.0909090909090912E-2</v>
      </c>
      <c r="Q754" s="11">
        <f t="shared" si="56"/>
        <v>3.0303030303030303E-3</v>
      </c>
      <c r="R754" s="19">
        <f t="shared" si="57"/>
        <v>1</v>
      </c>
      <c r="S754" s="6">
        <f t="shared" si="58"/>
        <v>1</v>
      </c>
      <c r="T754" s="5">
        <f t="shared" si="59"/>
        <v>1</v>
      </c>
    </row>
    <row r="755" spans="2:20" x14ac:dyDescent="0.25">
      <c r="B755" t="s">
        <v>607</v>
      </c>
      <c r="D755">
        <v>1</v>
      </c>
      <c r="N755">
        <v>1</v>
      </c>
      <c r="O755" s="1">
        <v>1</v>
      </c>
      <c r="P755" s="11">
        <f t="shared" si="55"/>
        <v>9.0909090909090912E-2</v>
      </c>
      <c r="Q755" s="11">
        <f t="shared" si="56"/>
        <v>3.0303030303030303E-3</v>
      </c>
      <c r="R755" s="19">
        <f t="shared" si="57"/>
        <v>1</v>
      </c>
      <c r="S755" s="6">
        <f t="shared" si="58"/>
        <v>1</v>
      </c>
      <c r="T755" s="5">
        <f t="shared" si="59"/>
        <v>1</v>
      </c>
    </row>
    <row r="756" spans="2:20" x14ac:dyDescent="0.25">
      <c r="B756" t="s">
        <v>1062</v>
      </c>
      <c r="L756">
        <v>0</v>
      </c>
      <c r="N756">
        <v>0</v>
      </c>
      <c r="O756" s="1">
        <v>0</v>
      </c>
      <c r="P756" s="11">
        <f t="shared" si="55"/>
        <v>0</v>
      </c>
      <c r="Q756" s="11">
        <f t="shared" si="56"/>
        <v>0</v>
      </c>
      <c r="R756" s="19">
        <f t="shared" si="57"/>
        <v>1</v>
      </c>
      <c r="S756" s="6">
        <f t="shared" si="58"/>
        <v>1</v>
      </c>
      <c r="T756" s="7">
        <f t="shared" si="59"/>
        <v>1</v>
      </c>
    </row>
    <row r="757" spans="2:20" x14ac:dyDescent="0.25">
      <c r="B757" t="s">
        <v>335</v>
      </c>
      <c r="C757">
        <v>0</v>
      </c>
      <c r="F757">
        <v>1</v>
      </c>
      <c r="G757">
        <v>1</v>
      </c>
      <c r="H757">
        <v>3</v>
      </c>
      <c r="J757">
        <v>1</v>
      </c>
      <c r="K757">
        <v>1</v>
      </c>
      <c r="L757">
        <v>2</v>
      </c>
      <c r="M757">
        <v>2</v>
      </c>
      <c r="N757">
        <v>11</v>
      </c>
      <c r="O757" s="1">
        <v>11</v>
      </c>
      <c r="P757" s="11">
        <f t="shared" si="55"/>
        <v>1</v>
      </c>
      <c r="Q757" s="11">
        <f t="shared" si="56"/>
        <v>3.3333333333333333E-2</v>
      </c>
      <c r="R757" s="19">
        <f t="shared" si="57"/>
        <v>1</v>
      </c>
      <c r="S757" s="6">
        <f t="shared" si="58"/>
        <v>1</v>
      </c>
      <c r="T757" s="5">
        <f t="shared" si="59"/>
        <v>1</v>
      </c>
    </row>
    <row r="758" spans="2:20" x14ac:dyDescent="0.25">
      <c r="B758" t="s">
        <v>1063</v>
      </c>
      <c r="L758">
        <v>2</v>
      </c>
      <c r="N758">
        <v>2</v>
      </c>
      <c r="O758" s="1">
        <v>2</v>
      </c>
      <c r="P758" s="11">
        <f t="shared" si="55"/>
        <v>0.18181818181818182</v>
      </c>
      <c r="Q758" s="11">
        <f t="shared" si="56"/>
        <v>6.0606060606060606E-3</v>
      </c>
      <c r="R758" s="19">
        <f t="shared" si="57"/>
        <v>1</v>
      </c>
      <c r="S758" s="6">
        <f t="shared" si="58"/>
        <v>1</v>
      </c>
      <c r="T758" s="5">
        <f t="shared" si="59"/>
        <v>1</v>
      </c>
    </row>
    <row r="759" spans="2:20" x14ac:dyDescent="0.25">
      <c r="B759" t="s">
        <v>336</v>
      </c>
      <c r="C759">
        <v>23</v>
      </c>
      <c r="D759">
        <v>4</v>
      </c>
      <c r="K759">
        <v>3</v>
      </c>
      <c r="L759">
        <v>2</v>
      </c>
      <c r="N759">
        <v>32</v>
      </c>
      <c r="O759" s="1">
        <v>32</v>
      </c>
      <c r="P759" s="11">
        <f t="shared" si="55"/>
        <v>2.9090909090909092</v>
      </c>
      <c r="Q759" s="11">
        <f t="shared" si="56"/>
        <v>9.696969696969697E-2</v>
      </c>
      <c r="R759" s="19">
        <f t="shared" si="57"/>
        <v>3</v>
      </c>
      <c r="S759" s="6">
        <f t="shared" si="58"/>
        <v>3</v>
      </c>
      <c r="T759" s="5">
        <f t="shared" si="59"/>
        <v>1</v>
      </c>
    </row>
    <row r="760" spans="2:20" x14ac:dyDescent="0.25">
      <c r="B760" t="s">
        <v>337</v>
      </c>
      <c r="C760">
        <v>14</v>
      </c>
      <c r="D760">
        <v>44</v>
      </c>
      <c r="E760">
        <v>8</v>
      </c>
      <c r="G760">
        <v>9</v>
      </c>
      <c r="H760">
        <v>9</v>
      </c>
      <c r="I760">
        <v>6</v>
      </c>
      <c r="J760">
        <v>3</v>
      </c>
      <c r="K760">
        <v>7</v>
      </c>
      <c r="L760">
        <v>33</v>
      </c>
      <c r="M760">
        <v>14</v>
      </c>
      <c r="N760">
        <v>147</v>
      </c>
      <c r="O760" s="1">
        <v>147</v>
      </c>
      <c r="P760" s="11">
        <f t="shared" si="55"/>
        <v>13.363636363636363</v>
      </c>
      <c r="Q760" s="11">
        <f t="shared" si="56"/>
        <v>0.44545454545454544</v>
      </c>
      <c r="R760" s="19">
        <f t="shared" si="57"/>
        <v>7</v>
      </c>
      <c r="S760" s="6">
        <f t="shared" si="58"/>
        <v>5</v>
      </c>
      <c r="T760" s="5">
        <f t="shared" si="59"/>
        <v>5</v>
      </c>
    </row>
    <row r="761" spans="2:20" x14ac:dyDescent="0.25">
      <c r="B761" t="s">
        <v>338</v>
      </c>
      <c r="C761">
        <v>1</v>
      </c>
      <c r="N761">
        <v>1</v>
      </c>
      <c r="O761" s="1">
        <v>1</v>
      </c>
      <c r="P761" s="11">
        <f t="shared" si="55"/>
        <v>9.0909090909090912E-2</v>
      </c>
      <c r="Q761" s="11">
        <f t="shared" si="56"/>
        <v>3.0303030303030303E-3</v>
      </c>
      <c r="R761" s="19">
        <f t="shared" si="57"/>
        <v>1</v>
      </c>
      <c r="S761" s="6">
        <f t="shared" si="58"/>
        <v>1</v>
      </c>
      <c r="T761" s="5">
        <f t="shared" si="59"/>
        <v>1</v>
      </c>
    </row>
    <row r="762" spans="2:20" x14ac:dyDescent="0.25">
      <c r="B762" t="s">
        <v>339</v>
      </c>
      <c r="C762">
        <v>1</v>
      </c>
      <c r="D762">
        <v>2</v>
      </c>
      <c r="N762">
        <v>3</v>
      </c>
      <c r="O762" s="1">
        <v>3</v>
      </c>
      <c r="P762" s="11">
        <f t="shared" si="55"/>
        <v>0.27272727272727271</v>
      </c>
      <c r="Q762" s="11">
        <f t="shared" si="56"/>
        <v>9.0909090909090905E-3</v>
      </c>
      <c r="R762" s="19">
        <f t="shared" si="57"/>
        <v>1</v>
      </c>
      <c r="S762" s="6">
        <f t="shared" si="58"/>
        <v>1</v>
      </c>
      <c r="T762" s="5">
        <f t="shared" si="59"/>
        <v>1</v>
      </c>
    </row>
    <row r="763" spans="2:20" x14ac:dyDescent="0.25">
      <c r="B763" t="s">
        <v>608</v>
      </c>
      <c r="D763">
        <v>1</v>
      </c>
      <c r="E763">
        <v>0</v>
      </c>
      <c r="H763">
        <v>1</v>
      </c>
      <c r="I763">
        <v>1</v>
      </c>
      <c r="K763">
        <v>2</v>
      </c>
      <c r="L763">
        <v>1</v>
      </c>
      <c r="N763">
        <v>6</v>
      </c>
      <c r="O763" s="1">
        <v>6</v>
      </c>
      <c r="P763" s="11">
        <f t="shared" si="55"/>
        <v>0.54545454545454541</v>
      </c>
      <c r="Q763" s="11">
        <f t="shared" si="56"/>
        <v>1.8181818181818181E-2</v>
      </c>
      <c r="R763" s="19">
        <f t="shared" si="57"/>
        <v>1</v>
      </c>
      <c r="S763" s="6">
        <f t="shared" si="58"/>
        <v>1</v>
      </c>
      <c r="T763" s="5">
        <f t="shared" si="59"/>
        <v>1</v>
      </c>
    </row>
    <row r="764" spans="2:20" x14ac:dyDescent="0.25">
      <c r="B764" t="s">
        <v>340</v>
      </c>
      <c r="C764">
        <v>15</v>
      </c>
      <c r="D764">
        <v>14</v>
      </c>
      <c r="E764">
        <v>17</v>
      </c>
      <c r="F764">
        <v>22</v>
      </c>
      <c r="G764">
        <v>12</v>
      </c>
      <c r="H764">
        <v>23</v>
      </c>
      <c r="I764">
        <v>14</v>
      </c>
      <c r="J764">
        <v>12</v>
      </c>
      <c r="K764">
        <v>31</v>
      </c>
      <c r="L764">
        <v>15</v>
      </c>
      <c r="M764">
        <v>16</v>
      </c>
      <c r="N764">
        <v>191</v>
      </c>
      <c r="O764" s="1">
        <v>191</v>
      </c>
      <c r="P764" s="11">
        <f t="shared" si="55"/>
        <v>17.363636363636363</v>
      </c>
      <c r="Q764" s="11">
        <f t="shared" si="56"/>
        <v>0.57878787878787874</v>
      </c>
      <c r="R764" s="19">
        <f t="shared" si="57"/>
        <v>9</v>
      </c>
      <c r="S764" s="6">
        <f t="shared" si="58"/>
        <v>7</v>
      </c>
      <c r="T764" s="5">
        <f t="shared" si="59"/>
        <v>5</v>
      </c>
    </row>
    <row r="765" spans="2:20" x14ac:dyDescent="0.25">
      <c r="B765" t="s">
        <v>341</v>
      </c>
      <c r="C765">
        <v>358</v>
      </c>
      <c r="D765">
        <v>301</v>
      </c>
      <c r="E765">
        <v>262</v>
      </c>
      <c r="F765">
        <v>233</v>
      </c>
      <c r="G765">
        <v>283</v>
      </c>
      <c r="H765">
        <v>373</v>
      </c>
      <c r="I765">
        <v>234</v>
      </c>
      <c r="J765">
        <v>230</v>
      </c>
      <c r="K765">
        <v>299</v>
      </c>
      <c r="L765">
        <v>337</v>
      </c>
      <c r="M765">
        <v>269</v>
      </c>
      <c r="N765">
        <v>3179</v>
      </c>
      <c r="O765" s="1">
        <v>3179</v>
      </c>
      <c r="P765" s="11">
        <f t="shared" si="55"/>
        <v>289</v>
      </c>
      <c r="Q765" s="11">
        <f t="shared" si="56"/>
        <v>9.6333333333333329</v>
      </c>
      <c r="R765" s="19">
        <f t="shared" si="57"/>
        <v>135</v>
      </c>
      <c r="S765" s="6">
        <f t="shared" si="58"/>
        <v>103</v>
      </c>
      <c r="T765" s="5">
        <f t="shared" si="59"/>
        <v>69</v>
      </c>
    </row>
    <row r="766" spans="2:20" x14ac:dyDescent="0.25">
      <c r="B766" t="s">
        <v>342</v>
      </c>
      <c r="C766">
        <v>111</v>
      </c>
      <c r="D766">
        <v>89</v>
      </c>
      <c r="E766">
        <v>100</v>
      </c>
      <c r="F766">
        <v>79</v>
      </c>
      <c r="G766">
        <v>116</v>
      </c>
      <c r="H766">
        <v>109</v>
      </c>
      <c r="I766">
        <v>103</v>
      </c>
      <c r="J766">
        <v>84</v>
      </c>
      <c r="K766">
        <v>173</v>
      </c>
      <c r="L766">
        <v>142</v>
      </c>
      <c r="M766">
        <v>88</v>
      </c>
      <c r="N766">
        <v>1194</v>
      </c>
      <c r="O766" s="1">
        <v>1194</v>
      </c>
      <c r="P766" s="11">
        <f t="shared" si="55"/>
        <v>108.54545454545455</v>
      </c>
      <c r="Q766" s="11">
        <f t="shared" si="56"/>
        <v>3.6181818181818182</v>
      </c>
      <c r="R766" s="19">
        <f t="shared" si="57"/>
        <v>51</v>
      </c>
      <c r="S766" s="6">
        <f t="shared" si="58"/>
        <v>39</v>
      </c>
      <c r="T766" s="5">
        <f t="shared" si="59"/>
        <v>27</v>
      </c>
    </row>
    <row r="767" spans="2:20" x14ac:dyDescent="0.25">
      <c r="B767" t="s">
        <v>343</v>
      </c>
      <c r="C767">
        <v>1</v>
      </c>
      <c r="E767">
        <v>4</v>
      </c>
      <c r="F767">
        <v>6</v>
      </c>
      <c r="G767">
        <v>3</v>
      </c>
      <c r="H767">
        <v>1</v>
      </c>
      <c r="I767">
        <v>3</v>
      </c>
      <c r="J767">
        <v>4</v>
      </c>
      <c r="K767">
        <v>2</v>
      </c>
      <c r="L767">
        <v>2</v>
      </c>
      <c r="M767">
        <v>2</v>
      </c>
      <c r="N767">
        <v>28</v>
      </c>
      <c r="O767" s="1">
        <v>28</v>
      </c>
      <c r="P767" s="11">
        <f t="shared" si="55"/>
        <v>2.5454545454545454</v>
      </c>
      <c r="Q767" s="11">
        <f t="shared" si="56"/>
        <v>8.4848484848484854E-2</v>
      </c>
      <c r="R767" s="19">
        <f t="shared" si="57"/>
        <v>3</v>
      </c>
      <c r="S767" s="6">
        <f t="shared" si="58"/>
        <v>1</v>
      </c>
      <c r="T767" s="5">
        <f t="shared" si="59"/>
        <v>1</v>
      </c>
    </row>
    <row r="768" spans="2:20" x14ac:dyDescent="0.25">
      <c r="B768" t="s">
        <v>710</v>
      </c>
      <c r="E768">
        <v>0</v>
      </c>
      <c r="G768">
        <v>0</v>
      </c>
      <c r="H768">
        <v>1</v>
      </c>
      <c r="J768">
        <v>2</v>
      </c>
      <c r="K768">
        <v>1</v>
      </c>
      <c r="L768">
        <v>1</v>
      </c>
      <c r="N768">
        <v>5</v>
      </c>
      <c r="O768" s="1">
        <v>5</v>
      </c>
      <c r="P768" s="11">
        <f t="shared" si="55"/>
        <v>0.45454545454545453</v>
      </c>
      <c r="Q768" s="11">
        <f t="shared" si="56"/>
        <v>1.515151515151515E-2</v>
      </c>
      <c r="R768" s="19">
        <f t="shared" si="57"/>
        <v>1</v>
      </c>
      <c r="S768" s="6">
        <f t="shared" si="58"/>
        <v>1</v>
      </c>
      <c r="T768" s="5">
        <f t="shared" si="59"/>
        <v>1</v>
      </c>
    </row>
    <row r="769" spans="2:20" x14ac:dyDescent="0.25">
      <c r="B769" t="s">
        <v>344</v>
      </c>
      <c r="C769">
        <v>1</v>
      </c>
      <c r="L769">
        <v>1</v>
      </c>
      <c r="N769">
        <v>2</v>
      </c>
      <c r="O769" s="1">
        <v>2</v>
      </c>
      <c r="P769" s="11">
        <f t="shared" si="55"/>
        <v>0.18181818181818182</v>
      </c>
      <c r="Q769" s="11">
        <f t="shared" si="56"/>
        <v>6.0606060606060606E-3</v>
      </c>
      <c r="R769" s="19">
        <f t="shared" si="57"/>
        <v>1</v>
      </c>
      <c r="S769" s="6">
        <f t="shared" si="58"/>
        <v>1</v>
      </c>
      <c r="T769" s="5">
        <f t="shared" si="59"/>
        <v>1</v>
      </c>
    </row>
    <row r="770" spans="2:20" x14ac:dyDescent="0.25">
      <c r="B770" t="s">
        <v>1064</v>
      </c>
      <c r="L770">
        <v>33</v>
      </c>
      <c r="M770">
        <v>57</v>
      </c>
      <c r="N770">
        <v>90</v>
      </c>
      <c r="O770" s="1">
        <v>90</v>
      </c>
      <c r="P770" s="11">
        <f t="shared" si="55"/>
        <v>8.1818181818181817</v>
      </c>
      <c r="Q770" s="11">
        <f t="shared" si="56"/>
        <v>0.27272727272727271</v>
      </c>
      <c r="R770" s="19">
        <f t="shared" si="57"/>
        <v>5</v>
      </c>
      <c r="S770" s="6">
        <f t="shared" si="58"/>
        <v>3</v>
      </c>
      <c r="T770" s="5">
        <f t="shared" si="59"/>
        <v>3</v>
      </c>
    </row>
    <row r="771" spans="2:20" x14ac:dyDescent="0.25">
      <c r="B771" t="s">
        <v>788</v>
      </c>
      <c r="F771">
        <v>1</v>
      </c>
      <c r="N771">
        <v>1</v>
      </c>
      <c r="O771" s="1">
        <v>1</v>
      </c>
      <c r="P771" s="11">
        <f t="shared" si="55"/>
        <v>9.0909090909090912E-2</v>
      </c>
      <c r="Q771" s="11">
        <f t="shared" si="56"/>
        <v>3.0303030303030303E-3</v>
      </c>
      <c r="R771" s="19">
        <f t="shared" si="57"/>
        <v>1</v>
      </c>
      <c r="S771" s="6">
        <f t="shared" si="58"/>
        <v>1</v>
      </c>
      <c r="T771" s="5">
        <f t="shared" si="59"/>
        <v>1</v>
      </c>
    </row>
    <row r="772" spans="2:20" x14ac:dyDescent="0.25">
      <c r="B772" t="s">
        <v>345</v>
      </c>
      <c r="C772">
        <v>0</v>
      </c>
      <c r="D772">
        <v>1</v>
      </c>
      <c r="N772">
        <v>1</v>
      </c>
      <c r="O772" s="1">
        <v>1</v>
      </c>
      <c r="P772" s="11">
        <f t="shared" si="55"/>
        <v>9.0909090909090912E-2</v>
      </c>
      <c r="Q772" s="11">
        <f t="shared" si="56"/>
        <v>3.0303030303030303E-3</v>
      </c>
      <c r="R772" s="19">
        <f t="shared" si="57"/>
        <v>1</v>
      </c>
      <c r="S772" s="6">
        <f t="shared" si="58"/>
        <v>1</v>
      </c>
      <c r="T772" s="5">
        <f t="shared" si="59"/>
        <v>1</v>
      </c>
    </row>
    <row r="773" spans="2:20" x14ac:dyDescent="0.25">
      <c r="B773" t="s">
        <v>839</v>
      </c>
      <c r="G773">
        <v>1</v>
      </c>
      <c r="L773">
        <v>1</v>
      </c>
      <c r="M773">
        <v>1</v>
      </c>
      <c r="N773">
        <v>3</v>
      </c>
      <c r="O773" s="1">
        <v>3</v>
      </c>
      <c r="P773" s="11">
        <f t="shared" si="55"/>
        <v>0.27272727272727271</v>
      </c>
      <c r="Q773" s="11">
        <f t="shared" si="56"/>
        <v>9.0909090909090905E-3</v>
      </c>
      <c r="R773" s="19">
        <f t="shared" si="57"/>
        <v>1</v>
      </c>
      <c r="S773" s="6">
        <f t="shared" si="58"/>
        <v>1</v>
      </c>
      <c r="T773" s="5">
        <f t="shared" si="59"/>
        <v>1</v>
      </c>
    </row>
    <row r="774" spans="2:20" x14ac:dyDescent="0.25">
      <c r="B774" t="s">
        <v>789</v>
      </c>
      <c r="F774">
        <v>1</v>
      </c>
      <c r="N774">
        <v>1</v>
      </c>
      <c r="O774" s="1">
        <v>1</v>
      </c>
      <c r="P774" s="11">
        <f t="shared" ref="P774:P837" si="60">O774/11</f>
        <v>9.0909090909090912E-2</v>
      </c>
      <c r="Q774" s="11">
        <f t="shared" si="56"/>
        <v>3.0303030303030303E-3</v>
      </c>
      <c r="R774" s="19">
        <f t="shared" si="57"/>
        <v>1</v>
      </c>
      <c r="S774" s="6">
        <f t="shared" si="58"/>
        <v>1</v>
      </c>
      <c r="T774" s="5">
        <f t="shared" si="59"/>
        <v>1</v>
      </c>
    </row>
    <row r="775" spans="2:20" x14ac:dyDescent="0.25">
      <c r="B775" t="s">
        <v>1065</v>
      </c>
      <c r="L775">
        <v>2</v>
      </c>
      <c r="N775">
        <v>2</v>
      </c>
      <c r="O775" s="1">
        <v>2</v>
      </c>
      <c r="P775" s="11">
        <f t="shared" si="60"/>
        <v>0.18181818181818182</v>
      </c>
      <c r="Q775" s="11">
        <f t="shared" ref="Q775:Q838" si="61">P775/30</f>
        <v>6.0606060606060606E-3</v>
      </c>
      <c r="R775" s="19">
        <f t="shared" ref="R775:R838" si="62">ODD(Q775*14)</f>
        <v>1</v>
      </c>
      <c r="S775" s="6">
        <f t="shared" ref="S775:S838" si="63">ODD(Q775*10.5)</f>
        <v>1</v>
      </c>
      <c r="T775" s="5">
        <f t="shared" ref="T775:T838" si="64">ODD(Q775*7)</f>
        <v>1</v>
      </c>
    </row>
    <row r="776" spans="2:20" x14ac:dyDescent="0.25">
      <c r="B776" t="s">
        <v>711</v>
      </c>
      <c r="E776">
        <v>1</v>
      </c>
      <c r="F776">
        <v>4</v>
      </c>
      <c r="G776">
        <v>0</v>
      </c>
      <c r="N776">
        <v>5</v>
      </c>
      <c r="O776" s="1">
        <v>5</v>
      </c>
      <c r="P776" s="11">
        <f t="shared" si="60"/>
        <v>0.45454545454545453</v>
      </c>
      <c r="Q776" s="11">
        <f t="shared" si="61"/>
        <v>1.515151515151515E-2</v>
      </c>
      <c r="R776" s="19">
        <f t="shared" si="62"/>
        <v>1</v>
      </c>
      <c r="S776" s="6">
        <f t="shared" si="63"/>
        <v>1</v>
      </c>
      <c r="T776" s="5">
        <f t="shared" si="64"/>
        <v>1</v>
      </c>
    </row>
    <row r="777" spans="2:20" x14ac:dyDescent="0.25">
      <c r="B777" t="s">
        <v>346</v>
      </c>
      <c r="C777">
        <v>107</v>
      </c>
      <c r="D777">
        <v>55</v>
      </c>
      <c r="E777">
        <v>25</v>
      </c>
      <c r="F777">
        <v>55</v>
      </c>
      <c r="G777">
        <v>102</v>
      </c>
      <c r="H777">
        <v>61</v>
      </c>
      <c r="I777">
        <v>34</v>
      </c>
      <c r="J777">
        <v>47</v>
      </c>
      <c r="K777">
        <v>66</v>
      </c>
      <c r="L777">
        <v>72</v>
      </c>
      <c r="M777">
        <v>52</v>
      </c>
      <c r="N777">
        <v>676</v>
      </c>
      <c r="O777" s="1">
        <v>676</v>
      </c>
      <c r="P777" s="11">
        <f t="shared" si="60"/>
        <v>61.454545454545453</v>
      </c>
      <c r="Q777" s="11">
        <f t="shared" si="61"/>
        <v>2.0484848484848484</v>
      </c>
      <c r="R777" s="19">
        <f t="shared" si="62"/>
        <v>29</v>
      </c>
      <c r="S777" s="6">
        <f t="shared" si="63"/>
        <v>23</v>
      </c>
      <c r="T777" s="5">
        <f t="shared" si="64"/>
        <v>15</v>
      </c>
    </row>
    <row r="778" spans="2:20" x14ac:dyDescent="0.25">
      <c r="B778" t="s">
        <v>609</v>
      </c>
      <c r="D778">
        <v>1</v>
      </c>
      <c r="N778">
        <v>1</v>
      </c>
      <c r="O778" s="1">
        <v>1</v>
      </c>
      <c r="P778" s="11">
        <f t="shared" si="60"/>
        <v>9.0909090909090912E-2</v>
      </c>
      <c r="Q778" s="11">
        <f t="shared" si="61"/>
        <v>3.0303030303030303E-3</v>
      </c>
      <c r="R778" s="19">
        <f t="shared" si="62"/>
        <v>1</v>
      </c>
      <c r="S778" s="6">
        <f t="shared" si="63"/>
        <v>1</v>
      </c>
      <c r="T778" s="5">
        <f t="shared" si="64"/>
        <v>1</v>
      </c>
    </row>
    <row r="779" spans="2:20" x14ac:dyDescent="0.25">
      <c r="B779" t="s">
        <v>347</v>
      </c>
      <c r="C779">
        <v>8</v>
      </c>
      <c r="E779">
        <v>5</v>
      </c>
      <c r="G779">
        <v>17</v>
      </c>
      <c r="H779">
        <v>2</v>
      </c>
      <c r="I779">
        <v>8</v>
      </c>
      <c r="J779">
        <v>3</v>
      </c>
      <c r="K779">
        <v>12</v>
      </c>
      <c r="M779">
        <v>6</v>
      </c>
      <c r="N779">
        <v>61</v>
      </c>
      <c r="O779" s="1">
        <v>61</v>
      </c>
      <c r="P779" s="11">
        <f t="shared" si="60"/>
        <v>5.5454545454545459</v>
      </c>
      <c r="Q779" s="11">
        <f t="shared" si="61"/>
        <v>0.18484848484848487</v>
      </c>
      <c r="R779" s="19">
        <f t="shared" si="62"/>
        <v>3</v>
      </c>
      <c r="S779" s="6">
        <f t="shared" si="63"/>
        <v>3</v>
      </c>
      <c r="T779" s="5">
        <f t="shared" si="64"/>
        <v>3</v>
      </c>
    </row>
    <row r="780" spans="2:20" x14ac:dyDescent="0.25">
      <c r="B780" t="s">
        <v>893</v>
      </c>
      <c r="H780">
        <v>1</v>
      </c>
      <c r="J780">
        <v>1</v>
      </c>
      <c r="K780">
        <v>1</v>
      </c>
      <c r="M780">
        <v>1</v>
      </c>
      <c r="N780">
        <v>4</v>
      </c>
      <c r="O780" s="1">
        <v>4</v>
      </c>
      <c r="P780" s="11">
        <f t="shared" si="60"/>
        <v>0.36363636363636365</v>
      </c>
      <c r="Q780" s="11">
        <f t="shared" si="61"/>
        <v>1.2121212121212121E-2</v>
      </c>
      <c r="R780" s="19">
        <f t="shared" si="62"/>
        <v>1</v>
      </c>
      <c r="S780" s="6">
        <f t="shared" si="63"/>
        <v>1</v>
      </c>
      <c r="T780" s="5">
        <f t="shared" si="64"/>
        <v>1</v>
      </c>
    </row>
    <row r="781" spans="2:20" x14ac:dyDescent="0.25">
      <c r="B781" t="s">
        <v>348</v>
      </c>
      <c r="C781">
        <v>1</v>
      </c>
      <c r="G781">
        <v>1</v>
      </c>
      <c r="I781">
        <v>3</v>
      </c>
      <c r="L781">
        <v>1</v>
      </c>
      <c r="N781">
        <v>6</v>
      </c>
      <c r="O781" s="1">
        <v>6</v>
      </c>
      <c r="P781" s="11">
        <f t="shared" si="60"/>
        <v>0.54545454545454541</v>
      </c>
      <c r="Q781" s="11">
        <f t="shared" si="61"/>
        <v>1.8181818181818181E-2</v>
      </c>
      <c r="R781" s="19">
        <f t="shared" si="62"/>
        <v>1</v>
      </c>
      <c r="S781" s="6">
        <f t="shared" si="63"/>
        <v>1</v>
      </c>
      <c r="T781" s="5">
        <f t="shared" si="64"/>
        <v>1</v>
      </c>
    </row>
    <row r="782" spans="2:20" x14ac:dyDescent="0.25">
      <c r="B782" t="s">
        <v>349</v>
      </c>
      <c r="C782">
        <v>4</v>
      </c>
      <c r="D782">
        <v>9</v>
      </c>
      <c r="F782">
        <v>6</v>
      </c>
      <c r="H782">
        <v>2</v>
      </c>
      <c r="I782">
        <v>5</v>
      </c>
      <c r="J782">
        <v>3</v>
      </c>
      <c r="K782">
        <v>4</v>
      </c>
      <c r="L782">
        <v>5</v>
      </c>
      <c r="N782">
        <v>38</v>
      </c>
      <c r="O782" s="1">
        <v>38</v>
      </c>
      <c r="P782" s="11">
        <f t="shared" si="60"/>
        <v>3.4545454545454546</v>
      </c>
      <c r="Q782" s="11">
        <f t="shared" si="61"/>
        <v>0.11515151515151516</v>
      </c>
      <c r="R782" s="19">
        <f t="shared" si="62"/>
        <v>3</v>
      </c>
      <c r="S782" s="6">
        <f t="shared" si="63"/>
        <v>3</v>
      </c>
      <c r="T782" s="5">
        <f t="shared" si="64"/>
        <v>1</v>
      </c>
    </row>
    <row r="783" spans="2:20" x14ac:dyDescent="0.25">
      <c r="B783" t="s">
        <v>1066</v>
      </c>
      <c r="L783">
        <v>1</v>
      </c>
      <c r="M783">
        <v>1</v>
      </c>
      <c r="N783">
        <v>2</v>
      </c>
      <c r="O783" s="1">
        <v>2</v>
      </c>
      <c r="P783" s="11">
        <f t="shared" si="60"/>
        <v>0.18181818181818182</v>
      </c>
      <c r="Q783" s="11">
        <f t="shared" si="61"/>
        <v>6.0606060606060606E-3</v>
      </c>
      <c r="R783" s="19">
        <f t="shared" si="62"/>
        <v>1</v>
      </c>
      <c r="S783" s="6">
        <f t="shared" si="63"/>
        <v>1</v>
      </c>
      <c r="T783" s="5">
        <f t="shared" si="64"/>
        <v>1</v>
      </c>
    </row>
    <row r="784" spans="2:20" x14ac:dyDescent="0.25">
      <c r="B784" t="s">
        <v>790</v>
      </c>
      <c r="F784">
        <v>5</v>
      </c>
      <c r="M784">
        <v>2</v>
      </c>
      <c r="N784">
        <v>7</v>
      </c>
      <c r="O784" s="1">
        <v>7</v>
      </c>
      <c r="P784" s="11">
        <f t="shared" si="60"/>
        <v>0.63636363636363635</v>
      </c>
      <c r="Q784" s="11">
        <f t="shared" si="61"/>
        <v>2.1212121212121213E-2</v>
      </c>
      <c r="R784" s="19">
        <f t="shared" si="62"/>
        <v>1</v>
      </c>
      <c r="S784" s="6">
        <f t="shared" si="63"/>
        <v>1</v>
      </c>
      <c r="T784" s="5">
        <f t="shared" si="64"/>
        <v>1</v>
      </c>
    </row>
    <row r="785" spans="2:20" x14ac:dyDescent="0.25">
      <c r="B785" t="s">
        <v>1100</v>
      </c>
      <c r="M785">
        <v>4</v>
      </c>
      <c r="N785">
        <v>4</v>
      </c>
      <c r="O785" s="1">
        <v>4</v>
      </c>
      <c r="P785" s="11">
        <f t="shared" si="60"/>
        <v>0.36363636363636365</v>
      </c>
      <c r="Q785" s="11">
        <f t="shared" si="61"/>
        <v>1.2121212121212121E-2</v>
      </c>
      <c r="R785" s="19">
        <f t="shared" si="62"/>
        <v>1</v>
      </c>
      <c r="S785" s="6">
        <f t="shared" si="63"/>
        <v>1</v>
      </c>
      <c r="T785" s="5">
        <f t="shared" si="64"/>
        <v>1</v>
      </c>
    </row>
    <row r="786" spans="2:20" x14ac:dyDescent="0.25">
      <c r="B786" t="s">
        <v>350</v>
      </c>
      <c r="C786">
        <v>6</v>
      </c>
      <c r="D786">
        <v>2</v>
      </c>
      <c r="F786">
        <v>2</v>
      </c>
      <c r="H786">
        <v>2</v>
      </c>
      <c r="K786">
        <v>1</v>
      </c>
      <c r="M786">
        <v>2</v>
      </c>
      <c r="N786">
        <v>15</v>
      </c>
      <c r="O786" s="1">
        <v>15</v>
      </c>
      <c r="P786" s="11">
        <f t="shared" si="60"/>
        <v>1.3636363636363635</v>
      </c>
      <c r="Q786" s="11">
        <f t="shared" si="61"/>
        <v>4.5454545454545449E-2</v>
      </c>
      <c r="R786" s="19">
        <f t="shared" si="62"/>
        <v>1</v>
      </c>
      <c r="S786" s="6">
        <f t="shared" si="63"/>
        <v>1</v>
      </c>
      <c r="T786" s="5">
        <f t="shared" si="64"/>
        <v>1</v>
      </c>
    </row>
    <row r="787" spans="2:20" x14ac:dyDescent="0.25">
      <c r="B787" t="s">
        <v>610</v>
      </c>
      <c r="D787">
        <v>3</v>
      </c>
      <c r="E787">
        <v>4</v>
      </c>
      <c r="F787">
        <v>8</v>
      </c>
      <c r="G787">
        <v>3</v>
      </c>
      <c r="H787">
        <v>4</v>
      </c>
      <c r="K787">
        <v>1</v>
      </c>
      <c r="N787">
        <v>23</v>
      </c>
      <c r="O787" s="1">
        <v>23</v>
      </c>
      <c r="P787" s="11">
        <f t="shared" si="60"/>
        <v>2.0909090909090908</v>
      </c>
      <c r="Q787" s="11">
        <f t="shared" si="61"/>
        <v>6.9696969696969688E-2</v>
      </c>
      <c r="R787" s="19">
        <f t="shared" si="62"/>
        <v>1</v>
      </c>
      <c r="S787" s="6">
        <f t="shared" si="63"/>
        <v>1</v>
      </c>
      <c r="T787" s="5">
        <f t="shared" si="64"/>
        <v>1</v>
      </c>
    </row>
    <row r="788" spans="2:20" x14ac:dyDescent="0.25">
      <c r="B788" t="s">
        <v>351</v>
      </c>
      <c r="C788">
        <v>11</v>
      </c>
      <c r="N788">
        <v>11</v>
      </c>
      <c r="O788" s="1">
        <v>11</v>
      </c>
      <c r="P788" s="11">
        <f t="shared" si="60"/>
        <v>1</v>
      </c>
      <c r="Q788" s="11">
        <f t="shared" si="61"/>
        <v>3.3333333333333333E-2</v>
      </c>
      <c r="R788" s="19">
        <f t="shared" si="62"/>
        <v>1</v>
      </c>
      <c r="S788" s="6">
        <f t="shared" si="63"/>
        <v>1</v>
      </c>
      <c r="T788" s="5">
        <f t="shared" si="64"/>
        <v>1</v>
      </c>
    </row>
    <row r="789" spans="2:20" x14ac:dyDescent="0.25">
      <c r="B789" t="s">
        <v>977</v>
      </c>
      <c r="J789">
        <v>1</v>
      </c>
      <c r="M789">
        <v>1</v>
      </c>
      <c r="N789">
        <v>2</v>
      </c>
      <c r="O789" s="1">
        <v>2</v>
      </c>
      <c r="P789" s="11">
        <f t="shared" si="60"/>
        <v>0.18181818181818182</v>
      </c>
      <c r="Q789" s="11">
        <f t="shared" si="61"/>
        <v>6.0606060606060606E-3</v>
      </c>
      <c r="R789" s="19">
        <f t="shared" si="62"/>
        <v>1</v>
      </c>
      <c r="S789" s="6">
        <f t="shared" si="63"/>
        <v>1</v>
      </c>
      <c r="T789" s="5">
        <f t="shared" si="64"/>
        <v>1</v>
      </c>
    </row>
    <row r="790" spans="2:20" x14ac:dyDescent="0.25">
      <c r="B790" t="s">
        <v>978</v>
      </c>
      <c r="J790">
        <v>1</v>
      </c>
      <c r="K790">
        <v>1</v>
      </c>
      <c r="L790">
        <v>4</v>
      </c>
      <c r="M790">
        <v>1</v>
      </c>
      <c r="N790">
        <v>7</v>
      </c>
      <c r="O790" s="1">
        <v>7</v>
      </c>
      <c r="P790" s="11">
        <f t="shared" si="60"/>
        <v>0.63636363636363635</v>
      </c>
      <c r="Q790" s="11">
        <f t="shared" si="61"/>
        <v>2.1212121212121213E-2</v>
      </c>
      <c r="R790" s="19">
        <f t="shared" si="62"/>
        <v>1</v>
      </c>
      <c r="S790" s="6">
        <f t="shared" si="63"/>
        <v>1</v>
      </c>
      <c r="T790" s="5">
        <f t="shared" si="64"/>
        <v>1</v>
      </c>
    </row>
    <row r="791" spans="2:20" x14ac:dyDescent="0.25">
      <c r="B791" t="s">
        <v>611</v>
      </c>
      <c r="D791">
        <v>2</v>
      </c>
      <c r="E791">
        <v>1</v>
      </c>
      <c r="F791">
        <v>1</v>
      </c>
      <c r="H791">
        <v>1</v>
      </c>
      <c r="I791">
        <v>1</v>
      </c>
      <c r="J791">
        <v>2</v>
      </c>
      <c r="K791">
        <v>1</v>
      </c>
      <c r="L791">
        <v>3</v>
      </c>
      <c r="N791">
        <v>12</v>
      </c>
      <c r="O791" s="1">
        <v>12</v>
      </c>
      <c r="P791" s="11">
        <f t="shared" si="60"/>
        <v>1.0909090909090908</v>
      </c>
      <c r="Q791" s="11">
        <f t="shared" si="61"/>
        <v>3.6363636363636362E-2</v>
      </c>
      <c r="R791" s="19">
        <f t="shared" si="62"/>
        <v>1</v>
      </c>
      <c r="S791" s="6">
        <f t="shared" si="63"/>
        <v>1</v>
      </c>
      <c r="T791" s="5">
        <f t="shared" si="64"/>
        <v>1</v>
      </c>
    </row>
    <row r="792" spans="2:20" x14ac:dyDescent="0.25">
      <c r="B792" t="s">
        <v>1020</v>
      </c>
      <c r="K792">
        <v>1</v>
      </c>
      <c r="L792">
        <v>2</v>
      </c>
      <c r="N792">
        <v>3</v>
      </c>
      <c r="O792" s="1">
        <v>3</v>
      </c>
      <c r="P792" s="11">
        <f t="shared" si="60"/>
        <v>0.27272727272727271</v>
      </c>
      <c r="Q792" s="11">
        <f t="shared" si="61"/>
        <v>9.0909090909090905E-3</v>
      </c>
      <c r="R792" s="19">
        <f t="shared" si="62"/>
        <v>1</v>
      </c>
      <c r="S792" s="6">
        <f t="shared" si="63"/>
        <v>1</v>
      </c>
      <c r="T792" s="5">
        <f t="shared" si="64"/>
        <v>1</v>
      </c>
    </row>
    <row r="793" spans="2:20" x14ac:dyDescent="0.25">
      <c r="B793" t="s">
        <v>894</v>
      </c>
      <c r="H793">
        <v>2</v>
      </c>
      <c r="J793">
        <v>1</v>
      </c>
      <c r="N793">
        <v>3</v>
      </c>
      <c r="O793" s="1">
        <v>3</v>
      </c>
      <c r="P793" s="11">
        <f t="shared" si="60"/>
        <v>0.27272727272727271</v>
      </c>
      <c r="Q793" s="11">
        <f t="shared" si="61"/>
        <v>9.0909090909090905E-3</v>
      </c>
      <c r="R793" s="19">
        <f t="shared" si="62"/>
        <v>1</v>
      </c>
      <c r="S793" s="6">
        <f t="shared" si="63"/>
        <v>1</v>
      </c>
      <c r="T793" s="5">
        <f t="shared" si="64"/>
        <v>1</v>
      </c>
    </row>
    <row r="794" spans="2:20" x14ac:dyDescent="0.25">
      <c r="B794" t="s">
        <v>352</v>
      </c>
      <c r="C794">
        <v>2</v>
      </c>
      <c r="E794">
        <v>1</v>
      </c>
      <c r="F794">
        <v>8</v>
      </c>
      <c r="G794">
        <v>2</v>
      </c>
      <c r="H794">
        <v>3</v>
      </c>
      <c r="I794">
        <v>1</v>
      </c>
      <c r="J794">
        <v>1</v>
      </c>
      <c r="N794">
        <v>18</v>
      </c>
      <c r="O794" s="1">
        <v>18</v>
      </c>
      <c r="P794" s="11">
        <f t="shared" si="60"/>
        <v>1.6363636363636365</v>
      </c>
      <c r="Q794" s="11">
        <f t="shared" si="61"/>
        <v>5.454545454545455E-2</v>
      </c>
      <c r="R794" s="19">
        <f t="shared" si="62"/>
        <v>1</v>
      </c>
      <c r="S794" s="6">
        <f t="shared" si="63"/>
        <v>1</v>
      </c>
      <c r="T794" s="5">
        <f t="shared" si="64"/>
        <v>1</v>
      </c>
    </row>
    <row r="795" spans="2:20" x14ac:dyDescent="0.25">
      <c r="B795" t="s">
        <v>353</v>
      </c>
      <c r="C795">
        <v>1</v>
      </c>
      <c r="D795">
        <v>1</v>
      </c>
      <c r="E795">
        <v>1</v>
      </c>
      <c r="F795">
        <v>1</v>
      </c>
      <c r="G795">
        <v>1</v>
      </c>
      <c r="J795">
        <v>4</v>
      </c>
      <c r="K795">
        <v>1</v>
      </c>
      <c r="L795">
        <v>1</v>
      </c>
      <c r="M795">
        <v>5</v>
      </c>
      <c r="N795">
        <v>16</v>
      </c>
      <c r="O795" s="1">
        <v>16</v>
      </c>
      <c r="P795" s="11">
        <f t="shared" si="60"/>
        <v>1.4545454545454546</v>
      </c>
      <c r="Q795" s="11">
        <f t="shared" si="61"/>
        <v>4.8484848484848485E-2</v>
      </c>
      <c r="R795" s="19">
        <f t="shared" si="62"/>
        <v>1</v>
      </c>
      <c r="S795" s="6">
        <f t="shared" si="63"/>
        <v>1</v>
      </c>
      <c r="T795" s="5">
        <f t="shared" si="64"/>
        <v>1</v>
      </c>
    </row>
    <row r="796" spans="2:20" x14ac:dyDescent="0.25">
      <c r="B796" t="s">
        <v>1067</v>
      </c>
      <c r="L796">
        <v>1</v>
      </c>
      <c r="M796">
        <v>1</v>
      </c>
      <c r="N796">
        <v>2</v>
      </c>
      <c r="O796" s="1">
        <v>2</v>
      </c>
      <c r="P796" s="11">
        <f t="shared" si="60"/>
        <v>0.18181818181818182</v>
      </c>
      <c r="Q796" s="11">
        <f t="shared" si="61"/>
        <v>6.0606060606060606E-3</v>
      </c>
      <c r="R796" s="19">
        <f t="shared" si="62"/>
        <v>1</v>
      </c>
      <c r="S796" s="6">
        <f t="shared" si="63"/>
        <v>1</v>
      </c>
      <c r="T796" s="5">
        <f t="shared" si="64"/>
        <v>1</v>
      </c>
    </row>
    <row r="797" spans="2:20" x14ac:dyDescent="0.25">
      <c r="B797" t="s">
        <v>354</v>
      </c>
      <c r="C797">
        <v>331</v>
      </c>
      <c r="D797">
        <v>225</v>
      </c>
      <c r="E797">
        <v>282</v>
      </c>
      <c r="F797">
        <v>311</v>
      </c>
      <c r="G797">
        <v>262</v>
      </c>
      <c r="H797">
        <v>351</v>
      </c>
      <c r="I797">
        <v>357</v>
      </c>
      <c r="J797">
        <v>309</v>
      </c>
      <c r="K797">
        <v>322</v>
      </c>
      <c r="L797">
        <v>429</v>
      </c>
      <c r="M797">
        <v>388</v>
      </c>
      <c r="N797">
        <v>3567</v>
      </c>
      <c r="O797" s="1">
        <v>3567</v>
      </c>
      <c r="P797" s="11">
        <f t="shared" si="60"/>
        <v>324.27272727272725</v>
      </c>
      <c r="Q797" s="11">
        <f t="shared" si="61"/>
        <v>10.809090909090909</v>
      </c>
      <c r="R797" s="19">
        <f t="shared" si="62"/>
        <v>153</v>
      </c>
      <c r="S797" s="6">
        <f t="shared" si="63"/>
        <v>115</v>
      </c>
      <c r="T797" s="5">
        <f t="shared" si="64"/>
        <v>77</v>
      </c>
    </row>
    <row r="798" spans="2:20" x14ac:dyDescent="0.25">
      <c r="B798" t="s">
        <v>355</v>
      </c>
      <c r="C798">
        <v>44</v>
      </c>
      <c r="D798">
        <v>44</v>
      </c>
      <c r="E798">
        <v>35</v>
      </c>
      <c r="F798">
        <v>50</v>
      </c>
      <c r="G798">
        <v>60</v>
      </c>
      <c r="H798">
        <v>64</v>
      </c>
      <c r="I798">
        <v>59</v>
      </c>
      <c r="J798">
        <v>51</v>
      </c>
      <c r="K798">
        <v>49</v>
      </c>
      <c r="L798">
        <v>69</v>
      </c>
      <c r="M798">
        <v>40</v>
      </c>
      <c r="N798">
        <v>565</v>
      </c>
      <c r="O798" s="1">
        <v>565</v>
      </c>
      <c r="P798" s="11">
        <f t="shared" si="60"/>
        <v>51.363636363636367</v>
      </c>
      <c r="Q798" s="11">
        <f t="shared" si="61"/>
        <v>1.7121212121212122</v>
      </c>
      <c r="R798" s="19">
        <f t="shared" si="62"/>
        <v>25</v>
      </c>
      <c r="S798" s="6">
        <f t="shared" si="63"/>
        <v>19</v>
      </c>
      <c r="T798" s="5">
        <f t="shared" si="64"/>
        <v>13</v>
      </c>
    </row>
    <row r="799" spans="2:20" x14ac:dyDescent="0.25">
      <c r="B799" t="s">
        <v>356</v>
      </c>
      <c r="C799">
        <v>6</v>
      </c>
      <c r="D799">
        <v>3</v>
      </c>
      <c r="E799">
        <v>1</v>
      </c>
      <c r="F799">
        <v>3</v>
      </c>
      <c r="G799">
        <v>3</v>
      </c>
      <c r="H799">
        <v>7</v>
      </c>
      <c r="I799">
        <v>10</v>
      </c>
      <c r="J799">
        <v>6</v>
      </c>
      <c r="K799">
        <v>3</v>
      </c>
      <c r="L799">
        <v>6</v>
      </c>
      <c r="M799">
        <v>7</v>
      </c>
      <c r="N799">
        <v>55</v>
      </c>
      <c r="O799" s="1">
        <v>55</v>
      </c>
      <c r="P799" s="11">
        <f t="shared" si="60"/>
        <v>5</v>
      </c>
      <c r="Q799" s="11">
        <f t="shared" si="61"/>
        <v>0.16666666666666666</v>
      </c>
      <c r="R799" s="19">
        <f t="shared" si="62"/>
        <v>3</v>
      </c>
      <c r="S799" s="6">
        <f t="shared" si="63"/>
        <v>3</v>
      </c>
      <c r="T799" s="5">
        <f t="shared" si="64"/>
        <v>3</v>
      </c>
    </row>
    <row r="800" spans="2:20" x14ac:dyDescent="0.25">
      <c r="B800" t="s">
        <v>712</v>
      </c>
      <c r="E800">
        <v>1</v>
      </c>
      <c r="G800">
        <v>1</v>
      </c>
      <c r="M800">
        <v>1</v>
      </c>
      <c r="N800">
        <v>3</v>
      </c>
      <c r="O800" s="1">
        <v>3</v>
      </c>
      <c r="P800" s="11">
        <f t="shared" si="60"/>
        <v>0.27272727272727271</v>
      </c>
      <c r="Q800" s="11">
        <f t="shared" si="61"/>
        <v>9.0909090909090905E-3</v>
      </c>
      <c r="R800" s="19">
        <f t="shared" si="62"/>
        <v>1</v>
      </c>
      <c r="S800" s="6">
        <f t="shared" si="63"/>
        <v>1</v>
      </c>
      <c r="T800" s="5">
        <f t="shared" si="64"/>
        <v>1</v>
      </c>
    </row>
    <row r="801" spans="2:20" x14ac:dyDescent="0.25">
      <c r="B801" t="s">
        <v>791</v>
      </c>
      <c r="F801">
        <v>5</v>
      </c>
      <c r="G801">
        <v>5</v>
      </c>
      <c r="H801">
        <v>4</v>
      </c>
      <c r="I801">
        <v>1</v>
      </c>
      <c r="K801">
        <v>5</v>
      </c>
      <c r="L801">
        <v>9</v>
      </c>
      <c r="M801">
        <v>3</v>
      </c>
      <c r="N801">
        <v>32</v>
      </c>
      <c r="O801" s="1">
        <v>32</v>
      </c>
      <c r="P801" s="11">
        <f t="shared" si="60"/>
        <v>2.9090909090909092</v>
      </c>
      <c r="Q801" s="11">
        <f t="shared" si="61"/>
        <v>9.696969696969697E-2</v>
      </c>
      <c r="R801" s="19">
        <f t="shared" si="62"/>
        <v>3</v>
      </c>
      <c r="S801" s="6">
        <f t="shared" si="63"/>
        <v>3</v>
      </c>
      <c r="T801" s="5">
        <f t="shared" si="64"/>
        <v>1</v>
      </c>
    </row>
    <row r="802" spans="2:20" x14ac:dyDescent="0.25">
      <c r="B802" t="s">
        <v>1021</v>
      </c>
      <c r="K802">
        <v>1</v>
      </c>
      <c r="N802">
        <v>1</v>
      </c>
      <c r="O802" s="1">
        <v>1</v>
      </c>
      <c r="P802" s="11">
        <f t="shared" si="60"/>
        <v>9.0909090909090912E-2</v>
      </c>
      <c r="Q802" s="11">
        <f t="shared" si="61"/>
        <v>3.0303030303030303E-3</v>
      </c>
      <c r="R802" s="19">
        <f t="shared" si="62"/>
        <v>1</v>
      </c>
      <c r="S802" s="6">
        <f t="shared" si="63"/>
        <v>1</v>
      </c>
      <c r="T802" s="5">
        <f t="shared" si="64"/>
        <v>1</v>
      </c>
    </row>
    <row r="803" spans="2:20" x14ac:dyDescent="0.25">
      <c r="B803" t="s">
        <v>612</v>
      </c>
      <c r="D803">
        <v>2</v>
      </c>
      <c r="E803">
        <v>1</v>
      </c>
      <c r="H803">
        <v>1</v>
      </c>
      <c r="N803">
        <v>4</v>
      </c>
      <c r="O803" s="1">
        <v>4</v>
      </c>
      <c r="P803" s="11">
        <f t="shared" si="60"/>
        <v>0.36363636363636365</v>
      </c>
      <c r="Q803" s="11">
        <f t="shared" si="61"/>
        <v>1.2121212121212121E-2</v>
      </c>
      <c r="R803" s="19">
        <f t="shared" si="62"/>
        <v>1</v>
      </c>
      <c r="S803" s="6">
        <f t="shared" si="63"/>
        <v>1</v>
      </c>
      <c r="T803" s="5">
        <f t="shared" si="64"/>
        <v>1</v>
      </c>
    </row>
    <row r="804" spans="2:20" x14ac:dyDescent="0.25">
      <c r="B804" t="s">
        <v>613</v>
      </c>
      <c r="D804">
        <v>1</v>
      </c>
      <c r="G804">
        <v>1</v>
      </c>
      <c r="H804">
        <v>3</v>
      </c>
      <c r="I804">
        <v>2</v>
      </c>
      <c r="K804">
        <v>1</v>
      </c>
      <c r="L804">
        <v>2</v>
      </c>
      <c r="M804">
        <v>3</v>
      </c>
      <c r="N804">
        <v>13</v>
      </c>
      <c r="O804" s="1">
        <v>13</v>
      </c>
      <c r="P804" s="11">
        <f t="shared" si="60"/>
        <v>1.1818181818181819</v>
      </c>
      <c r="Q804" s="11">
        <f t="shared" si="61"/>
        <v>3.9393939393939398E-2</v>
      </c>
      <c r="R804" s="19">
        <f t="shared" si="62"/>
        <v>1</v>
      </c>
      <c r="S804" s="6">
        <f t="shared" si="63"/>
        <v>1</v>
      </c>
      <c r="T804" s="5">
        <f t="shared" si="64"/>
        <v>1</v>
      </c>
    </row>
    <row r="805" spans="2:20" x14ac:dyDescent="0.25">
      <c r="B805" t="s">
        <v>1101</v>
      </c>
      <c r="M805">
        <v>12</v>
      </c>
      <c r="N805">
        <v>12</v>
      </c>
      <c r="O805" s="1">
        <v>12</v>
      </c>
      <c r="P805" s="11">
        <f t="shared" si="60"/>
        <v>1.0909090909090908</v>
      </c>
      <c r="Q805" s="11">
        <f t="shared" si="61"/>
        <v>3.6363636363636362E-2</v>
      </c>
      <c r="R805" s="19">
        <f t="shared" si="62"/>
        <v>1</v>
      </c>
      <c r="S805" s="6">
        <f t="shared" si="63"/>
        <v>1</v>
      </c>
      <c r="T805" s="5">
        <f t="shared" si="64"/>
        <v>1</v>
      </c>
    </row>
    <row r="806" spans="2:20" x14ac:dyDescent="0.25">
      <c r="B806" t="s">
        <v>840</v>
      </c>
      <c r="G806">
        <v>6</v>
      </c>
      <c r="H806">
        <v>11</v>
      </c>
      <c r="I806">
        <v>1</v>
      </c>
      <c r="K806">
        <v>45</v>
      </c>
      <c r="L806">
        <v>3</v>
      </c>
      <c r="N806">
        <v>66</v>
      </c>
      <c r="O806" s="1">
        <v>66</v>
      </c>
      <c r="P806" s="11">
        <f t="shared" si="60"/>
        <v>6</v>
      </c>
      <c r="Q806" s="11">
        <f t="shared" si="61"/>
        <v>0.2</v>
      </c>
      <c r="R806" s="19">
        <f t="shared" si="62"/>
        <v>3</v>
      </c>
      <c r="S806" s="6">
        <f t="shared" si="63"/>
        <v>3</v>
      </c>
      <c r="T806" s="5">
        <f t="shared" si="64"/>
        <v>3</v>
      </c>
    </row>
    <row r="807" spans="2:20" x14ac:dyDescent="0.25">
      <c r="B807" t="s">
        <v>792</v>
      </c>
      <c r="F807">
        <v>12</v>
      </c>
      <c r="G807">
        <v>18</v>
      </c>
      <c r="I807">
        <v>2</v>
      </c>
      <c r="N807">
        <v>32</v>
      </c>
      <c r="O807" s="1">
        <v>32</v>
      </c>
      <c r="P807" s="11">
        <f t="shared" si="60"/>
        <v>2.9090909090909092</v>
      </c>
      <c r="Q807" s="11">
        <f t="shared" si="61"/>
        <v>9.696969696969697E-2</v>
      </c>
      <c r="R807" s="19">
        <f t="shared" si="62"/>
        <v>3</v>
      </c>
      <c r="S807" s="6">
        <f t="shared" si="63"/>
        <v>3</v>
      </c>
      <c r="T807" s="5">
        <f t="shared" si="64"/>
        <v>1</v>
      </c>
    </row>
    <row r="808" spans="2:20" x14ac:dyDescent="0.25">
      <c r="B808" t="s">
        <v>793</v>
      </c>
      <c r="F808">
        <v>30</v>
      </c>
      <c r="G808">
        <v>49</v>
      </c>
      <c r="H808">
        <v>9</v>
      </c>
      <c r="I808">
        <v>4</v>
      </c>
      <c r="N808">
        <v>92</v>
      </c>
      <c r="O808" s="1">
        <v>92</v>
      </c>
      <c r="P808" s="11">
        <f t="shared" si="60"/>
        <v>8.3636363636363633</v>
      </c>
      <c r="Q808" s="11">
        <f t="shared" si="61"/>
        <v>0.27878787878787875</v>
      </c>
      <c r="R808" s="19">
        <f t="shared" si="62"/>
        <v>5</v>
      </c>
      <c r="S808" s="6">
        <f t="shared" si="63"/>
        <v>3</v>
      </c>
      <c r="T808" s="5">
        <f t="shared" si="64"/>
        <v>3</v>
      </c>
    </row>
    <row r="809" spans="2:20" x14ac:dyDescent="0.25">
      <c r="B809" t="s">
        <v>713</v>
      </c>
      <c r="E809">
        <v>12</v>
      </c>
      <c r="N809">
        <v>12</v>
      </c>
      <c r="O809" s="1">
        <v>12</v>
      </c>
      <c r="P809" s="11">
        <f t="shared" si="60"/>
        <v>1.0909090909090908</v>
      </c>
      <c r="Q809" s="11">
        <f t="shared" si="61"/>
        <v>3.6363636363636362E-2</v>
      </c>
      <c r="R809" s="19">
        <f t="shared" si="62"/>
        <v>1</v>
      </c>
      <c r="S809" s="6">
        <f t="shared" si="63"/>
        <v>1</v>
      </c>
      <c r="T809" s="5">
        <f t="shared" si="64"/>
        <v>1</v>
      </c>
    </row>
    <row r="810" spans="2:20" x14ac:dyDescent="0.25">
      <c r="B810" t="s">
        <v>357</v>
      </c>
      <c r="C810">
        <v>7</v>
      </c>
      <c r="D810">
        <v>17</v>
      </c>
      <c r="E810">
        <v>7</v>
      </c>
      <c r="N810">
        <v>31</v>
      </c>
      <c r="O810" s="1">
        <v>31</v>
      </c>
      <c r="P810" s="11">
        <f t="shared" si="60"/>
        <v>2.8181818181818183</v>
      </c>
      <c r="Q810" s="11">
        <f t="shared" si="61"/>
        <v>9.3939393939393948E-2</v>
      </c>
      <c r="R810" s="19">
        <f t="shared" si="62"/>
        <v>3</v>
      </c>
      <c r="S810" s="6">
        <f t="shared" si="63"/>
        <v>1</v>
      </c>
      <c r="T810" s="5">
        <f t="shared" si="64"/>
        <v>1</v>
      </c>
    </row>
    <row r="811" spans="2:20" x14ac:dyDescent="0.25">
      <c r="B811" t="s">
        <v>358</v>
      </c>
      <c r="C811">
        <v>35</v>
      </c>
      <c r="D811">
        <v>34</v>
      </c>
      <c r="E811">
        <v>9</v>
      </c>
      <c r="F811">
        <v>34</v>
      </c>
      <c r="G811">
        <v>42</v>
      </c>
      <c r="H811">
        <v>45</v>
      </c>
      <c r="L811">
        <v>90</v>
      </c>
      <c r="M811">
        <v>27</v>
      </c>
      <c r="N811">
        <v>316</v>
      </c>
      <c r="O811" s="1">
        <v>316</v>
      </c>
      <c r="P811" s="11">
        <f t="shared" si="60"/>
        <v>28.727272727272727</v>
      </c>
      <c r="Q811" s="11">
        <f t="shared" si="61"/>
        <v>0.95757575757575752</v>
      </c>
      <c r="R811" s="19">
        <f t="shared" si="62"/>
        <v>15</v>
      </c>
      <c r="S811" s="6">
        <f t="shared" si="63"/>
        <v>11</v>
      </c>
      <c r="T811" s="5">
        <f t="shared" si="64"/>
        <v>7</v>
      </c>
    </row>
    <row r="812" spans="2:20" x14ac:dyDescent="0.25">
      <c r="B812" t="s">
        <v>359</v>
      </c>
      <c r="C812">
        <v>13</v>
      </c>
      <c r="D812">
        <v>7</v>
      </c>
      <c r="E812">
        <v>47</v>
      </c>
      <c r="F812">
        <v>24</v>
      </c>
      <c r="G812">
        <v>16</v>
      </c>
      <c r="H812">
        <v>15</v>
      </c>
      <c r="I812">
        <v>24</v>
      </c>
      <c r="J812">
        <v>175</v>
      </c>
      <c r="K812">
        <v>153</v>
      </c>
      <c r="L812">
        <v>51</v>
      </c>
      <c r="M812">
        <v>74</v>
      </c>
      <c r="N812">
        <v>599</v>
      </c>
      <c r="O812" s="1">
        <v>599</v>
      </c>
      <c r="P812" s="11">
        <f t="shared" si="60"/>
        <v>54.454545454545453</v>
      </c>
      <c r="Q812" s="11">
        <f t="shared" si="61"/>
        <v>1.8151515151515152</v>
      </c>
      <c r="R812" s="19">
        <f t="shared" si="62"/>
        <v>27</v>
      </c>
      <c r="S812" s="6">
        <f t="shared" si="63"/>
        <v>21</v>
      </c>
      <c r="T812" s="5">
        <f t="shared" si="64"/>
        <v>13</v>
      </c>
    </row>
    <row r="813" spans="2:20" x14ac:dyDescent="0.25">
      <c r="B813" t="s">
        <v>895</v>
      </c>
      <c r="H813">
        <v>1</v>
      </c>
      <c r="N813">
        <v>1</v>
      </c>
      <c r="O813" s="1">
        <v>1</v>
      </c>
      <c r="P813" s="11">
        <f t="shared" si="60"/>
        <v>9.0909090909090912E-2</v>
      </c>
      <c r="Q813" s="11">
        <f t="shared" si="61"/>
        <v>3.0303030303030303E-3</v>
      </c>
      <c r="R813" s="19">
        <f t="shared" si="62"/>
        <v>1</v>
      </c>
      <c r="S813" s="6">
        <f t="shared" si="63"/>
        <v>1</v>
      </c>
      <c r="T813" s="5">
        <f t="shared" si="64"/>
        <v>1</v>
      </c>
    </row>
    <row r="814" spans="2:20" x14ac:dyDescent="0.25">
      <c r="B814" t="s">
        <v>360</v>
      </c>
      <c r="C814">
        <v>1</v>
      </c>
      <c r="H814">
        <v>1</v>
      </c>
      <c r="I814">
        <v>1</v>
      </c>
      <c r="N814">
        <v>3</v>
      </c>
      <c r="O814" s="1">
        <v>3</v>
      </c>
      <c r="P814" s="11">
        <f t="shared" si="60"/>
        <v>0.27272727272727271</v>
      </c>
      <c r="Q814" s="11">
        <f t="shared" si="61"/>
        <v>9.0909090909090905E-3</v>
      </c>
      <c r="R814" s="19">
        <f t="shared" si="62"/>
        <v>1</v>
      </c>
      <c r="S814" s="6">
        <f t="shared" si="63"/>
        <v>1</v>
      </c>
      <c r="T814" s="5">
        <f t="shared" si="64"/>
        <v>1</v>
      </c>
    </row>
    <row r="815" spans="2:20" x14ac:dyDescent="0.25">
      <c r="B815" t="s">
        <v>841</v>
      </c>
      <c r="G815">
        <v>1</v>
      </c>
      <c r="H815">
        <v>1</v>
      </c>
      <c r="L815">
        <v>1</v>
      </c>
      <c r="M815">
        <v>2</v>
      </c>
      <c r="N815">
        <v>5</v>
      </c>
      <c r="O815" s="1">
        <v>5</v>
      </c>
      <c r="P815" s="11">
        <f t="shared" si="60"/>
        <v>0.45454545454545453</v>
      </c>
      <c r="Q815" s="11">
        <f t="shared" si="61"/>
        <v>1.515151515151515E-2</v>
      </c>
      <c r="R815" s="19">
        <f t="shared" si="62"/>
        <v>1</v>
      </c>
      <c r="S815" s="6">
        <f t="shared" si="63"/>
        <v>1</v>
      </c>
      <c r="T815" s="5">
        <f t="shared" si="64"/>
        <v>1</v>
      </c>
    </row>
    <row r="816" spans="2:20" x14ac:dyDescent="0.25">
      <c r="B816" t="s">
        <v>614</v>
      </c>
      <c r="D816">
        <v>1</v>
      </c>
      <c r="F816">
        <v>2</v>
      </c>
      <c r="N816">
        <v>3</v>
      </c>
      <c r="O816" s="1">
        <v>3</v>
      </c>
      <c r="P816" s="11">
        <f t="shared" si="60"/>
        <v>0.27272727272727271</v>
      </c>
      <c r="Q816" s="11">
        <f t="shared" si="61"/>
        <v>9.0909090909090905E-3</v>
      </c>
      <c r="R816" s="19">
        <f t="shared" si="62"/>
        <v>1</v>
      </c>
      <c r="S816" s="6">
        <f t="shared" si="63"/>
        <v>1</v>
      </c>
      <c r="T816" s="5">
        <f t="shared" si="64"/>
        <v>1</v>
      </c>
    </row>
    <row r="817" spans="2:20" x14ac:dyDescent="0.25">
      <c r="B817" t="s">
        <v>896</v>
      </c>
      <c r="H817">
        <v>1</v>
      </c>
      <c r="N817">
        <v>1</v>
      </c>
      <c r="O817" s="1">
        <v>1</v>
      </c>
      <c r="P817" s="11">
        <f t="shared" si="60"/>
        <v>9.0909090909090912E-2</v>
      </c>
      <c r="Q817" s="11">
        <f t="shared" si="61"/>
        <v>3.0303030303030303E-3</v>
      </c>
      <c r="R817" s="19">
        <f t="shared" si="62"/>
        <v>1</v>
      </c>
      <c r="S817" s="6">
        <f t="shared" si="63"/>
        <v>1</v>
      </c>
      <c r="T817" s="5">
        <f t="shared" si="64"/>
        <v>1</v>
      </c>
    </row>
    <row r="818" spans="2:20" x14ac:dyDescent="0.25">
      <c r="B818" t="s">
        <v>842</v>
      </c>
      <c r="G818">
        <v>1</v>
      </c>
      <c r="I818">
        <v>2</v>
      </c>
      <c r="J818">
        <v>3</v>
      </c>
      <c r="K818">
        <v>2</v>
      </c>
      <c r="L818">
        <v>1</v>
      </c>
      <c r="N818">
        <v>9</v>
      </c>
      <c r="O818" s="1">
        <v>9</v>
      </c>
      <c r="P818" s="11">
        <f t="shared" si="60"/>
        <v>0.81818181818181823</v>
      </c>
      <c r="Q818" s="11">
        <f t="shared" si="61"/>
        <v>2.7272727272727275E-2</v>
      </c>
      <c r="R818" s="19">
        <f t="shared" si="62"/>
        <v>1</v>
      </c>
      <c r="S818" s="6">
        <f t="shared" si="63"/>
        <v>1</v>
      </c>
      <c r="T818" s="5">
        <f t="shared" si="64"/>
        <v>1</v>
      </c>
    </row>
    <row r="819" spans="2:20" x14ac:dyDescent="0.25">
      <c r="B819" t="s">
        <v>1068</v>
      </c>
      <c r="L819">
        <v>1</v>
      </c>
      <c r="N819">
        <v>1</v>
      </c>
      <c r="O819" s="1">
        <v>1</v>
      </c>
      <c r="P819" s="11">
        <f t="shared" si="60"/>
        <v>9.0909090909090912E-2</v>
      </c>
      <c r="Q819" s="11">
        <f t="shared" si="61"/>
        <v>3.0303030303030303E-3</v>
      </c>
      <c r="R819" s="19">
        <f t="shared" si="62"/>
        <v>1</v>
      </c>
      <c r="S819" s="6">
        <f t="shared" si="63"/>
        <v>1</v>
      </c>
      <c r="T819" s="5">
        <f t="shared" si="64"/>
        <v>1</v>
      </c>
    </row>
    <row r="820" spans="2:20" x14ac:dyDescent="0.25">
      <c r="B820" t="s">
        <v>361</v>
      </c>
      <c r="C820">
        <v>2</v>
      </c>
      <c r="J820">
        <v>1</v>
      </c>
      <c r="L820">
        <v>2</v>
      </c>
      <c r="N820">
        <v>5</v>
      </c>
      <c r="O820" s="1">
        <v>5</v>
      </c>
      <c r="P820" s="11">
        <f t="shared" si="60"/>
        <v>0.45454545454545453</v>
      </c>
      <c r="Q820" s="11">
        <f t="shared" si="61"/>
        <v>1.515151515151515E-2</v>
      </c>
      <c r="R820" s="19">
        <f t="shared" si="62"/>
        <v>1</v>
      </c>
      <c r="S820" s="6">
        <f t="shared" si="63"/>
        <v>1</v>
      </c>
      <c r="T820" s="5">
        <f t="shared" si="64"/>
        <v>1</v>
      </c>
    </row>
    <row r="821" spans="2:20" x14ac:dyDescent="0.25">
      <c r="B821" t="s">
        <v>362</v>
      </c>
      <c r="C821">
        <v>4</v>
      </c>
      <c r="D821">
        <v>5</v>
      </c>
      <c r="E821">
        <v>3</v>
      </c>
      <c r="F821">
        <v>3</v>
      </c>
      <c r="G821">
        <v>2</v>
      </c>
      <c r="H821">
        <v>2</v>
      </c>
      <c r="I821">
        <v>2</v>
      </c>
      <c r="J821">
        <v>1</v>
      </c>
      <c r="K821">
        <v>3</v>
      </c>
      <c r="N821">
        <v>25</v>
      </c>
      <c r="O821" s="1">
        <v>25</v>
      </c>
      <c r="P821" s="11">
        <f t="shared" si="60"/>
        <v>2.2727272727272729</v>
      </c>
      <c r="Q821" s="11">
        <f t="shared" si="61"/>
        <v>7.575757575757576E-2</v>
      </c>
      <c r="R821" s="19">
        <f t="shared" si="62"/>
        <v>3</v>
      </c>
      <c r="S821" s="6">
        <f t="shared" si="63"/>
        <v>1</v>
      </c>
      <c r="T821" s="5">
        <f t="shared" si="64"/>
        <v>1</v>
      </c>
    </row>
    <row r="822" spans="2:20" x14ac:dyDescent="0.25">
      <c r="B822" t="s">
        <v>363</v>
      </c>
      <c r="C822">
        <v>2</v>
      </c>
      <c r="N822">
        <v>2</v>
      </c>
      <c r="O822" s="1">
        <v>2</v>
      </c>
      <c r="P822" s="11">
        <f t="shared" si="60"/>
        <v>0.18181818181818182</v>
      </c>
      <c r="Q822" s="11">
        <f t="shared" si="61"/>
        <v>6.0606060606060606E-3</v>
      </c>
      <c r="R822" s="19">
        <f t="shared" si="62"/>
        <v>1</v>
      </c>
      <c r="S822" s="6">
        <f t="shared" si="63"/>
        <v>1</v>
      </c>
      <c r="T822" s="5">
        <f t="shared" si="64"/>
        <v>1</v>
      </c>
    </row>
    <row r="823" spans="2:20" x14ac:dyDescent="0.25">
      <c r="B823" t="s">
        <v>364</v>
      </c>
      <c r="C823">
        <v>1</v>
      </c>
      <c r="E823">
        <v>1</v>
      </c>
      <c r="G823">
        <v>1</v>
      </c>
      <c r="K823">
        <v>2</v>
      </c>
      <c r="L823">
        <v>1</v>
      </c>
      <c r="N823">
        <v>6</v>
      </c>
      <c r="O823" s="1">
        <v>6</v>
      </c>
      <c r="P823" s="11">
        <f t="shared" si="60"/>
        <v>0.54545454545454541</v>
      </c>
      <c r="Q823" s="11">
        <f t="shared" si="61"/>
        <v>1.8181818181818181E-2</v>
      </c>
      <c r="R823" s="19">
        <f t="shared" si="62"/>
        <v>1</v>
      </c>
      <c r="S823" s="6">
        <f t="shared" si="63"/>
        <v>1</v>
      </c>
      <c r="T823" s="5">
        <f t="shared" si="64"/>
        <v>1</v>
      </c>
    </row>
    <row r="824" spans="2:20" x14ac:dyDescent="0.25">
      <c r="B824" t="s">
        <v>365</v>
      </c>
      <c r="C824">
        <v>3</v>
      </c>
      <c r="D824">
        <v>5</v>
      </c>
      <c r="E824">
        <v>2</v>
      </c>
      <c r="F824">
        <v>1</v>
      </c>
      <c r="G824">
        <v>1</v>
      </c>
      <c r="J824">
        <v>1</v>
      </c>
      <c r="K824">
        <v>2</v>
      </c>
      <c r="L824">
        <v>1</v>
      </c>
      <c r="M824">
        <v>3</v>
      </c>
      <c r="N824">
        <v>19</v>
      </c>
      <c r="O824" s="1">
        <v>19</v>
      </c>
      <c r="P824" s="11">
        <f t="shared" si="60"/>
        <v>1.7272727272727273</v>
      </c>
      <c r="Q824" s="11">
        <f t="shared" si="61"/>
        <v>5.7575757575757579E-2</v>
      </c>
      <c r="R824" s="19">
        <f t="shared" si="62"/>
        <v>1</v>
      </c>
      <c r="S824" s="6">
        <f t="shared" si="63"/>
        <v>1</v>
      </c>
      <c r="T824" s="5">
        <f t="shared" si="64"/>
        <v>1</v>
      </c>
    </row>
    <row r="825" spans="2:20" x14ac:dyDescent="0.25">
      <c r="B825" t="s">
        <v>615</v>
      </c>
      <c r="D825">
        <v>1</v>
      </c>
      <c r="N825">
        <v>1</v>
      </c>
      <c r="O825" s="1">
        <v>1</v>
      </c>
      <c r="P825" s="11">
        <f t="shared" si="60"/>
        <v>9.0909090909090912E-2</v>
      </c>
      <c r="Q825" s="11">
        <f t="shared" si="61"/>
        <v>3.0303030303030303E-3</v>
      </c>
      <c r="R825" s="19">
        <f t="shared" si="62"/>
        <v>1</v>
      </c>
      <c r="S825" s="6">
        <f t="shared" si="63"/>
        <v>1</v>
      </c>
      <c r="T825" s="5">
        <f t="shared" si="64"/>
        <v>1</v>
      </c>
    </row>
    <row r="826" spans="2:20" x14ac:dyDescent="0.25">
      <c r="B826" t="s">
        <v>897</v>
      </c>
      <c r="H826">
        <v>1</v>
      </c>
      <c r="J826">
        <v>1</v>
      </c>
      <c r="N826">
        <v>2</v>
      </c>
      <c r="O826" s="1">
        <v>2</v>
      </c>
      <c r="P826" s="11">
        <f t="shared" si="60"/>
        <v>0.18181818181818182</v>
      </c>
      <c r="Q826" s="11">
        <f t="shared" si="61"/>
        <v>6.0606060606060606E-3</v>
      </c>
      <c r="R826" s="19">
        <f t="shared" si="62"/>
        <v>1</v>
      </c>
      <c r="S826" s="6">
        <f t="shared" si="63"/>
        <v>1</v>
      </c>
      <c r="T826" s="5">
        <f t="shared" si="64"/>
        <v>1</v>
      </c>
    </row>
    <row r="827" spans="2:20" x14ac:dyDescent="0.25">
      <c r="B827" t="s">
        <v>366</v>
      </c>
      <c r="C827">
        <v>1</v>
      </c>
      <c r="D827">
        <v>2</v>
      </c>
      <c r="E827">
        <v>2</v>
      </c>
      <c r="I827">
        <v>2</v>
      </c>
      <c r="J827">
        <v>2</v>
      </c>
      <c r="K827">
        <v>2</v>
      </c>
      <c r="M827">
        <v>1</v>
      </c>
      <c r="N827">
        <v>12</v>
      </c>
      <c r="O827" s="1">
        <v>12</v>
      </c>
      <c r="P827" s="11">
        <f t="shared" si="60"/>
        <v>1.0909090909090908</v>
      </c>
      <c r="Q827" s="11">
        <f t="shared" si="61"/>
        <v>3.6363636363636362E-2</v>
      </c>
      <c r="R827" s="19">
        <f t="shared" si="62"/>
        <v>1</v>
      </c>
      <c r="S827" s="6">
        <f t="shared" si="63"/>
        <v>1</v>
      </c>
      <c r="T827" s="5">
        <f t="shared" si="64"/>
        <v>1</v>
      </c>
    </row>
    <row r="828" spans="2:20" x14ac:dyDescent="0.25">
      <c r="B828" t="s">
        <v>367</v>
      </c>
      <c r="C828">
        <v>1</v>
      </c>
      <c r="E828">
        <v>2</v>
      </c>
      <c r="H828">
        <v>24</v>
      </c>
      <c r="J828">
        <v>1</v>
      </c>
      <c r="K828">
        <v>14</v>
      </c>
      <c r="L828">
        <v>2</v>
      </c>
      <c r="N828">
        <v>44</v>
      </c>
      <c r="O828" s="1">
        <v>44</v>
      </c>
      <c r="P828" s="11">
        <f t="shared" si="60"/>
        <v>4</v>
      </c>
      <c r="Q828" s="11">
        <f t="shared" si="61"/>
        <v>0.13333333333333333</v>
      </c>
      <c r="R828" s="19">
        <f t="shared" si="62"/>
        <v>3</v>
      </c>
      <c r="S828" s="6">
        <f t="shared" si="63"/>
        <v>3</v>
      </c>
      <c r="T828" s="5">
        <f t="shared" si="64"/>
        <v>1</v>
      </c>
    </row>
    <row r="829" spans="2:20" x14ac:dyDescent="0.25">
      <c r="B829" t="s">
        <v>368</v>
      </c>
      <c r="C829">
        <v>21</v>
      </c>
      <c r="D829">
        <v>34</v>
      </c>
      <c r="E829">
        <v>58</v>
      </c>
      <c r="F829">
        <v>71</v>
      </c>
      <c r="G829">
        <v>1</v>
      </c>
      <c r="H829">
        <v>34</v>
      </c>
      <c r="I829">
        <v>15</v>
      </c>
      <c r="J829">
        <v>2</v>
      </c>
      <c r="K829">
        <v>47</v>
      </c>
      <c r="L829">
        <v>14</v>
      </c>
      <c r="M829">
        <v>6</v>
      </c>
      <c r="N829">
        <v>303</v>
      </c>
      <c r="O829" s="1">
        <v>303</v>
      </c>
      <c r="P829" s="11">
        <f t="shared" si="60"/>
        <v>27.545454545454547</v>
      </c>
      <c r="Q829" s="11">
        <f t="shared" si="61"/>
        <v>0.91818181818181821</v>
      </c>
      <c r="R829" s="19">
        <f t="shared" si="62"/>
        <v>13</v>
      </c>
      <c r="S829" s="6">
        <f t="shared" si="63"/>
        <v>11</v>
      </c>
      <c r="T829" s="5">
        <f t="shared" si="64"/>
        <v>7</v>
      </c>
    </row>
    <row r="830" spans="2:20" x14ac:dyDescent="0.25">
      <c r="B830" t="s">
        <v>369</v>
      </c>
      <c r="C830">
        <v>1</v>
      </c>
      <c r="D830">
        <v>3</v>
      </c>
      <c r="E830">
        <v>2</v>
      </c>
      <c r="F830">
        <v>1</v>
      </c>
      <c r="G830">
        <v>2</v>
      </c>
      <c r="H830">
        <v>2</v>
      </c>
      <c r="I830">
        <v>1</v>
      </c>
      <c r="K830">
        <v>0</v>
      </c>
      <c r="L830">
        <v>1</v>
      </c>
      <c r="M830">
        <v>1</v>
      </c>
      <c r="N830">
        <v>14</v>
      </c>
      <c r="O830" s="1">
        <v>14</v>
      </c>
      <c r="P830" s="11">
        <f t="shared" si="60"/>
        <v>1.2727272727272727</v>
      </c>
      <c r="Q830" s="11">
        <f t="shared" si="61"/>
        <v>4.2424242424242427E-2</v>
      </c>
      <c r="R830" s="19">
        <f t="shared" si="62"/>
        <v>1</v>
      </c>
      <c r="S830" s="6">
        <f t="shared" si="63"/>
        <v>1</v>
      </c>
      <c r="T830" s="5">
        <f t="shared" si="64"/>
        <v>1</v>
      </c>
    </row>
    <row r="831" spans="2:20" x14ac:dyDescent="0.25">
      <c r="B831" t="s">
        <v>370</v>
      </c>
      <c r="C831">
        <v>3</v>
      </c>
      <c r="D831">
        <v>2</v>
      </c>
      <c r="E831">
        <v>2</v>
      </c>
      <c r="F831">
        <v>1</v>
      </c>
      <c r="J831">
        <v>1</v>
      </c>
      <c r="K831">
        <v>2</v>
      </c>
      <c r="N831">
        <v>11</v>
      </c>
      <c r="O831" s="1">
        <v>11</v>
      </c>
      <c r="P831" s="11">
        <f t="shared" si="60"/>
        <v>1</v>
      </c>
      <c r="Q831" s="11">
        <f t="shared" si="61"/>
        <v>3.3333333333333333E-2</v>
      </c>
      <c r="R831" s="19">
        <f t="shared" si="62"/>
        <v>1</v>
      </c>
      <c r="S831" s="6">
        <f t="shared" si="63"/>
        <v>1</v>
      </c>
      <c r="T831" s="5">
        <f t="shared" si="64"/>
        <v>1</v>
      </c>
    </row>
    <row r="832" spans="2:20" x14ac:dyDescent="0.25">
      <c r="B832" t="s">
        <v>371</v>
      </c>
      <c r="C832">
        <v>34</v>
      </c>
      <c r="D832">
        <v>22</v>
      </c>
      <c r="E832">
        <v>11</v>
      </c>
      <c r="F832">
        <v>22</v>
      </c>
      <c r="G832">
        <v>37</v>
      </c>
      <c r="H832">
        <v>18</v>
      </c>
      <c r="I832">
        <v>21</v>
      </c>
      <c r="J832">
        <v>27</v>
      </c>
      <c r="K832">
        <v>28</v>
      </c>
      <c r="L832">
        <v>20</v>
      </c>
      <c r="M832">
        <v>26</v>
      </c>
      <c r="N832">
        <v>266</v>
      </c>
      <c r="O832" s="1">
        <v>266</v>
      </c>
      <c r="P832" s="11">
        <f t="shared" si="60"/>
        <v>24.181818181818183</v>
      </c>
      <c r="Q832" s="11">
        <f t="shared" si="61"/>
        <v>0.80606060606060614</v>
      </c>
      <c r="R832" s="19">
        <f t="shared" si="62"/>
        <v>13</v>
      </c>
      <c r="S832" s="6">
        <f t="shared" si="63"/>
        <v>9</v>
      </c>
      <c r="T832" s="5">
        <f t="shared" si="64"/>
        <v>7</v>
      </c>
    </row>
    <row r="833" spans="2:20" x14ac:dyDescent="0.25">
      <c r="B833" t="s">
        <v>372</v>
      </c>
      <c r="C833">
        <v>1</v>
      </c>
      <c r="D833">
        <v>1</v>
      </c>
      <c r="E833">
        <v>2</v>
      </c>
      <c r="F833">
        <v>2</v>
      </c>
      <c r="H833">
        <v>3</v>
      </c>
      <c r="K833">
        <v>2</v>
      </c>
      <c r="M833">
        <v>2</v>
      </c>
      <c r="N833">
        <v>13</v>
      </c>
      <c r="O833" s="1">
        <v>13</v>
      </c>
      <c r="P833" s="11">
        <f t="shared" si="60"/>
        <v>1.1818181818181819</v>
      </c>
      <c r="Q833" s="11">
        <f t="shared" si="61"/>
        <v>3.9393939393939398E-2</v>
      </c>
      <c r="R833" s="19">
        <f t="shared" si="62"/>
        <v>1</v>
      </c>
      <c r="S833" s="6">
        <f t="shared" si="63"/>
        <v>1</v>
      </c>
      <c r="T833" s="5">
        <f t="shared" si="64"/>
        <v>1</v>
      </c>
    </row>
    <row r="834" spans="2:20" x14ac:dyDescent="0.25">
      <c r="B834" t="s">
        <v>373</v>
      </c>
      <c r="C834">
        <v>6</v>
      </c>
      <c r="D834">
        <v>4</v>
      </c>
      <c r="E834">
        <v>3</v>
      </c>
      <c r="F834">
        <v>5</v>
      </c>
      <c r="G834">
        <v>1</v>
      </c>
      <c r="H834">
        <v>4</v>
      </c>
      <c r="I834">
        <v>2</v>
      </c>
      <c r="N834">
        <v>25</v>
      </c>
      <c r="O834" s="1">
        <v>25</v>
      </c>
      <c r="P834" s="11">
        <f t="shared" si="60"/>
        <v>2.2727272727272729</v>
      </c>
      <c r="Q834" s="11">
        <f t="shared" si="61"/>
        <v>7.575757575757576E-2</v>
      </c>
      <c r="R834" s="19">
        <f t="shared" si="62"/>
        <v>3</v>
      </c>
      <c r="S834" s="6">
        <f t="shared" si="63"/>
        <v>1</v>
      </c>
      <c r="T834" s="5">
        <f t="shared" si="64"/>
        <v>1</v>
      </c>
    </row>
    <row r="835" spans="2:20" x14ac:dyDescent="0.25">
      <c r="B835" t="s">
        <v>374</v>
      </c>
      <c r="C835">
        <v>2</v>
      </c>
      <c r="H835">
        <v>1</v>
      </c>
      <c r="I835">
        <v>2</v>
      </c>
      <c r="L835">
        <v>1</v>
      </c>
      <c r="N835">
        <v>6</v>
      </c>
      <c r="O835" s="1">
        <v>6</v>
      </c>
      <c r="P835" s="11">
        <f t="shared" si="60"/>
        <v>0.54545454545454541</v>
      </c>
      <c r="Q835" s="11">
        <f t="shared" si="61"/>
        <v>1.8181818181818181E-2</v>
      </c>
      <c r="R835" s="19">
        <f t="shared" si="62"/>
        <v>1</v>
      </c>
      <c r="S835" s="6">
        <f t="shared" si="63"/>
        <v>1</v>
      </c>
      <c r="T835" s="5">
        <f t="shared" si="64"/>
        <v>1</v>
      </c>
    </row>
    <row r="836" spans="2:20" x14ac:dyDescent="0.25">
      <c r="B836" t="s">
        <v>1022</v>
      </c>
      <c r="K836">
        <v>1</v>
      </c>
      <c r="M836">
        <v>1</v>
      </c>
      <c r="N836">
        <v>2</v>
      </c>
      <c r="O836" s="1">
        <v>2</v>
      </c>
      <c r="P836" s="11">
        <f t="shared" si="60"/>
        <v>0.18181818181818182</v>
      </c>
      <c r="Q836" s="11">
        <f t="shared" si="61"/>
        <v>6.0606060606060606E-3</v>
      </c>
      <c r="R836" s="19">
        <f t="shared" si="62"/>
        <v>1</v>
      </c>
      <c r="S836" s="6">
        <f t="shared" si="63"/>
        <v>1</v>
      </c>
      <c r="T836" s="5">
        <f t="shared" si="64"/>
        <v>1</v>
      </c>
    </row>
    <row r="837" spans="2:20" x14ac:dyDescent="0.25">
      <c r="B837" t="s">
        <v>616</v>
      </c>
      <c r="D837">
        <v>1</v>
      </c>
      <c r="E837">
        <v>1</v>
      </c>
      <c r="G837">
        <v>1</v>
      </c>
      <c r="J837">
        <v>1</v>
      </c>
      <c r="L837">
        <v>2</v>
      </c>
      <c r="N837">
        <v>6</v>
      </c>
      <c r="O837" s="1">
        <v>6</v>
      </c>
      <c r="P837" s="11">
        <f t="shared" si="60"/>
        <v>0.54545454545454541</v>
      </c>
      <c r="Q837" s="11">
        <f t="shared" si="61"/>
        <v>1.8181818181818181E-2</v>
      </c>
      <c r="R837" s="19">
        <f t="shared" si="62"/>
        <v>1</v>
      </c>
      <c r="S837" s="6">
        <f t="shared" si="63"/>
        <v>1</v>
      </c>
      <c r="T837" s="5">
        <f t="shared" si="64"/>
        <v>1</v>
      </c>
    </row>
    <row r="838" spans="2:20" x14ac:dyDescent="0.25">
      <c r="B838" t="s">
        <v>375</v>
      </c>
      <c r="C838">
        <v>2</v>
      </c>
      <c r="N838">
        <v>2</v>
      </c>
      <c r="O838" s="1">
        <v>2</v>
      </c>
      <c r="P838" s="11">
        <f t="shared" ref="P838:P901" si="65">O838/11</f>
        <v>0.18181818181818182</v>
      </c>
      <c r="Q838" s="11">
        <f t="shared" si="61"/>
        <v>6.0606060606060606E-3</v>
      </c>
      <c r="R838" s="19">
        <f t="shared" si="62"/>
        <v>1</v>
      </c>
      <c r="S838" s="6">
        <f t="shared" si="63"/>
        <v>1</v>
      </c>
      <c r="T838" s="5">
        <f t="shared" si="64"/>
        <v>1</v>
      </c>
    </row>
    <row r="839" spans="2:20" x14ac:dyDescent="0.25">
      <c r="B839" t="s">
        <v>617</v>
      </c>
      <c r="D839">
        <v>3</v>
      </c>
      <c r="I839">
        <v>2</v>
      </c>
      <c r="N839">
        <v>5</v>
      </c>
      <c r="O839" s="1">
        <v>5</v>
      </c>
      <c r="P839" s="11">
        <f t="shared" si="65"/>
        <v>0.45454545454545453</v>
      </c>
      <c r="Q839" s="11">
        <f t="shared" ref="Q839:Q902" si="66">P839/30</f>
        <v>1.515151515151515E-2</v>
      </c>
      <c r="R839" s="19">
        <f t="shared" ref="R839:R902" si="67">ODD(Q839*14)</f>
        <v>1</v>
      </c>
      <c r="S839" s="6">
        <f t="shared" ref="S839:S902" si="68">ODD(Q839*10.5)</f>
        <v>1</v>
      </c>
      <c r="T839" s="5">
        <f t="shared" ref="T839:T902" si="69">ODD(Q839*7)</f>
        <v>1</v>
      </c>
    </row>
    <row r="840" spans="2:20" x14ac:dyDescent="0.25">
      <c r="B840" t="s">
        <v>618</v>
      </c>
      <c r="D840">
        <v>1</v>
      </c>
      <c r="J840">
        <v>1</v>
      </c>
      <c r="M840">
        <v>1</v>
      </c>
      <c r="N840">
        <v>3</v>
      </c>
      <c r="O840" s="1">
        <v>3</v>
      </c>
      <c r="P840" s="11">
        <f t="shared" si="65"/>
        <v>0.27272727272727271</v>
      </c>
      <c r="Q840" s="11">
        <f t="shared" si="66"/>
        <v>9.0909090909090905E-3</v>
      </c>
      <c r="R840" s="19">
        <f t="shared" si="67"/>
        <v>1</v>
      </c>
      <c r="S840" s="6">
        <f t="shared" si="68"/>
        <v>1</v>
      </c>
      <c r="T840" s="5">
        <f t="shared" si="69"/>
        <v>1</v>
      </c>
    </row>
    <row r="841" spans="2:20" x14ac:dyDescent="0.25">
      <c r="B841" t="s">
        <v>619</v>
      </c>
      <c r="D841">
        <v>1</v>
      </c>
      <c r="J841">
        <v>1</v>
      </c>
      <c r="K841">
        <v>2</v>
      </c>
      <c r="N841">
        <v>4</v>
      </c>
      <c r="O841" s="1">
        <v>4</v>
      </c>
      <c r="P841" s="11">
        <f t="shared" si="65"/>
        <v>0.36363636363636365</v>
      </c>
      <c r="Q841" s="11">
        <f t="shared" si="66"/>
        <v>1.2121212121212121E-2</v>
      </c>
      <c r="R841" s="19">
        <f t="shared" si="67"/>
        <v>1</v>
      </c>
      <c r="S841" s="6">
        <f t="shared" si="68"/>
        <v>1</v>
      </c>
      <c r="T841" s="5">
        <f t="shared" si="69"/>
        <v>1</v>
      </c>
    </row>
    <row r="842" spans="2:20" x14ac:dyDescent="0.25">
      <c r="B842" t="s">
        <v>1023</v>
      </c>
      <c r="K842">
        <v>5</v>
      </c>
      <c r="N842">
        <v>5</v>
      </c>
      <c r="O842" s="1">
        <v>5</v>
      </c>
      <c r="P842" s="11">
        <f t="shared" si="65"/>
        <v>0.45454545454545453</v>
      </c>
      <c r="Q842" s="11">
        <f t="shared" si="66"/>
        <v>1.515151515151515E-2</v>
      </c>
      <c r="R842" s="19">
        <f t="shared" si="67"/>
        <v>1</v>
      </c>
      <c r="S842" s="6">
        <f t="shared" si="68"/>
        <v>1</v>
      </c>
      <c r="T842" s="5">
        <f t="shared" si="69"/>
        <v>1</v>
      </c>
    </row>
    <row r="843" spans="2:20" x14ac:dyDescent="0.25">
      <c r="B843" t="s">
        <v>1069</v>
      </c>
      <c r="L843">
        <v>1</v>
      </c>
      <c r="N843">
        <v>1</v>
      </c>
      <c r="O843" s="1">
        <v>1</v>
      </c>
      <c r="P843" s="11">
        <f t="shared" si="65"/>
        <v>9.0909090909090912E-2</v>
      </c>
      <c r="Q843" s="11">
        <f t="shared" si="66"/>
        <v>3.0303030303030303E-3</v>
      </c>
      <c r="R843" s="19">
        <f t="shared" si="67"/>
        <v>1</v>
      </c>
      <c r="S843" s="6">
        <f t="shared" si="68"/>
        <v>1</v>
      </c>
      <c r="T843" s="5">
        <f t="shared" si="69"/>
        <v>1</v>
      </c>
    </row>
    <row r="844" spans="2:20" x14ac:dyDescent="0.25">
      <c r="B844" t="s">
        <v>376</v>
      </c>
      <c r="C844">
        <v>228</v>
      </c>
      <c r="D844">
        <v>163</v>
      </c>
      <c r="E844">
        <v>85</v>
      </c>
      <c r="F844">
        <v>63</v>
      </c>
      <c r="G844">
        <v>88</v>
      </c>
      <c r="H844">
        <v>106</v>
      </c>
      <c r="I844">
        <v>82</v>
      </c>
      <c r="J844">
        <v>41</v>
      </c>
      <c r="K844">
        <v>68</v>
      </c>
      <c r="L844">
        <v>74</v>
      </c>
      <c r="M844">
        <v>97</v>
      </c>
      <c r="N844">
        <v>1095</v>
      </c>
      <c r="O844" s="1">
        <v>1095</v>
      </c>
      <c r="P844" s="11">
        <f t="shared" si="65"/>
        <v>99.545454545454547</v>
      </c>
      <c r="Q844" s="11">
        <f t="shared" si="66"/>
        <v>3.3181818181818183</v>
      </c>
      <c r="R844" s="19">
        <f t="shared" si="67"/>
        <v>47</v>
      </c>
      <c r="S844" s="6">
        <f t="shared" si="68"/>
        <v>35</v>
      </c>
      <c r="T844" s="5">
        <f t="shared" si="69"/>
        <v>25</v>
      </c>
    </row>
    <row r="845" spans="2:20" x14ac:dyDescent="0.25">
      <c r="B845" t="s">
        <v>377</v>
      </c>
      <c r="C845">
        <v>3</v>
      </c>
      <c r="E845">
        <v>5</v>
      </c>
      <c r="G845">
        <v>2</v>
      </c>
      <c r="H845">
        <v>2</v>
      </c>
      <c r="I845">
        <v>1</v>
      </c>
      <c r="J845">
        <v>4</v>
      </c>
      <c r="K845">
        <v>2</v>
      </c>
      <c r="L845">
        <v>3</v>
      </c>
      <c r="M845">
        <v>4</v>
      </c>
      <c r="N845">
        <v>26</v>
      </c>
      <c r="O845" s="1">
        <v>26</v>
      </c>
      <c r="P845" s="11">
        <f t="shared" si="65"/>
        <v>2.3636363636363638</v>
      </c>
      <c r="Q845" s="11">
        <f t="shared" si="66"/>
        <v>7.8787878787878796E-2</v>
      </c>
      <c r="R845" s="19">
        <f t="shared" si="67"/>
        <v>3</v>
      </c>
      <c r="S845" s="6">
        <f t="shared" si="68"/>
        <v>1</v>
      </c>
      <c r="T845" s="5">
        <f t="shared" si="69"/>
        <v>1</v>
      </c>
    </row>
    <row r="846" spans="2:20" x14ac:dyDescent="0.25">
      <c r="B846" t="s">
        <v>843</v>
      </c>
      <c r="G846">
        <v>1</v>
      </c>
      <c r="H846">
        <v>1</v>
      </c>
      <c r="N846">
        <v>2</v>
      </c>
      <c r="O846" s="1">
        <v>2</v>
      </c>
      <c r="P846" s="11">
        <f t="shared" si="65"/>
        <v>0.18181818181818182</v>
      </c>
      <c r="Q846" s="11">
        <f t="shared" si="66"/>
        <v>6.0606060606060606E-3</v>
      </c>
      <c r="R846" s="19">
        <f t="shared" si="67"/>
        <v>1</v>
      </c>
      <c r="S846" s="6">
        <f t="shared" si="68"/>
        <v>1</v>
      </c>
      <c r="T846" s="5">
        <f t="shared" si="69"/>
        <v>1</v>
      </c>
    </row>
    <row r="847" spans="2:20" x14ac:dyDescent="0.25">
      <c r="B847" t="s">
        <v>378</v>
      </c>
      <c r="C847">
        <v>1</v>
      </c>
      <c r="D847">
        <v>3</v>
      </c>
      <c r="F847">
        <v>7</v>
      </c>
      <c r="G847">
        <v>3</v>
      </c>
      <c r="H847">
        <v>3</v>
      </c>
      <c r="I847">
        <v>1</v>
      </c>
      <c r="J847">
        <v>4</v>
      </c>
      <c r="K847">
        <v>1</v>
      </c>
      <c r="L847">
        <v>2</v>
      </c>
      <c r="M847">
        <v>3</v>
      </c>
      <c r="N847">
        <v>28</v>
      </c>
      <c r="O847" s="1">
        <v>28</v>
      </c>
      <c r="P847" s="11">
        <f t="shared" si="65"/>
        <v>2.5454545454545454</v>
      </c>
      <c r="Q847" s="11">
        <f t="shared" si="66"/>
        <v>8.4848484848484854E-2</v>
      </c>
      <c r="R847" s="19">
        <f t="shared" si="67"/>
        <v>3</v>
      </c>
      <c r="S847" s="6">
        <f t="shared" si="68"/>
        <v>1</v>
      </c>
      <c r="T847" s="5">
        <f t="shared" si="69"/>
        <v>1</v>
      </c>
    </row>
    <row r="848" spans="2:20" x14ac:dyDescent="0.25">
      <c r="B848" t="s">
        <v>379</v>
      </c>
      <c r="C848">
        <v>7</v>
      </c>
      <c r="D848">
        <v>5</v>
      </c>
      <c r="E848">
        <v>6</v>
      </c>
      <c r="F848">
        <v>2</v>
      </c>
      <c r="G848">
        <v>2</v>
      </c>
      <c r="H848">
        <v>5</v>
      </c>
      <c r="I848">
        <v>4</v>
      </c>
      <c r="J848">
        <v>2</v>
      </c>
      <c r="K848">
        <v>3</v>
      </c>
      <c r="L848">
        <v>3</v>
      </c>
      <c r="M848">
        <v>4</v>
      </c>
      <c r="N848">
        <v>43</v>
      </c>
      <c r="O848" s="1">
        <v>43</v>
      </c>
      <c r="P848" s="11">
        <f t="shared" si="65"/>
        <v>3.9090909090909092</v>
      </c>
      <c r="Q848" s="11">
        <f t="shared" si="66"/>
        <v>0.13030303030303031</v>
      </c>
      <c r="R848" s="19">
        <f t="shared" si="67"/>
        <v>3</v>
      </c>
      <c r="S848" s="6">
        <f t="shared" si="68"/>
        <v>3</v>
      </c>
      <c r="T848" s="5">
        <f t="shared" si="69"/>
        <v>1</v>
      </c>
    </row>
    <row r="849" spans="2:20" x14ac:dyDescent="0.25">
      <c r="B849" t="s">
        <v>898</v>
      </c>
      <c r="H849">
        <v>1</v>
      </c>
      <c r="I849">
        <v>4</v>
      </c>
      <c r="K849">
        <v>4</v>
      </c>
      <c r="L849">
        <v>3</v>
      </c>
      <c r="M849">
        <v>3</v>
      </c>
      <c r="N849">
        <v>15</v>
      </c>
      <c r="O849" s="1">
        <v>15</v>
      </c>
      <c r="P849" s="11">
        <f t="shared" si="65"/>
        <v>1.3636363636363635</v>
      </c>
      <c r="Q849" s="11">
        <f t="shared" si="66"/>
        <v>4.5454545454545449E-2</v>
      </c>
      <c r="R849" s="19">
        <f t="shared" si="67"/>
        <v>1</v>
      </c>
      <c r="S849" s="6">
        <f t="shared" si="68"/>
        <v>1</v>
      </c>
      <c r="T849" s="5">
        <f t="shared" si="69"/>
        <v>1</v>
      </c>
    </row>
    <row r="850" spans="2:20" x14ac:dyDescent="0.25">
      <c r="B850" t="s">
        <v>380</v>
      </c>
      <c r="C850">
        <v>8</v>
      </c>
      <c r="D850">
        <v>1</v>
      </c>
      <c r="E850">
        <v>3</v>
      </c>
      <c r="F850">
        <v>1</v>
      </c>
      <c r="G850">
        <v>3</v>
      </c>
      <c r="H850">
        <v>2</v>
      </c>
      <c r="I850">
        <v>14</v>
      </c>
      <c r="J850">
        <v>13</v>
      </c>
      <c r="K850">
        <v>5</v>
      </c>
      <c r="L850">
        <v>6</v>
      </c>
      <c r="M850">
        <v>9</v>
      </c>
      <c r="N850">
        <v>65</v>
      </c>
      <c r="O850" s="1">
        <v>65</v>
      </c>
      <c r="P850" s="11">
        <f t="shared" si="65"/>
        <v>5.9090909090909092</v>
      </c>
      <c r="Q850" s="11">
        <f t="shared" si="66"/>
        <v>0.19696969696969696</v>
      </c>
      <c r="R850" s="19">
        <f t="shared" si="67"/>
        <v>3</v>
      </c>
      <c r="S850" s="6">
        <f t="shared" si="68"/>
        <v>3</v>
      </c>
      <c r="T850" s="5">
        <f t="shared" si="69"/>
        <v>3</v>
      </c>
    </row>
    <row r="851" spans="2:20" x14ac:dyDescent="0.25">
      <c r="B851" t="s">
        <v>620</v>
      </c>
      <c r="D851">
        <v>4</v>
      </c>
      <c r="H851">
        <v>1</v>
      </c>
      <c r="M851">
        <v>2</v>
      </c>
      <c r="N851">
        <v>7</v>
      </c>
      <c r="O851" s="1">
        <v>7</v>
      </c>
      <c r="P851" s="11">
        <f t="shared" si="65"/>
        <v>0.63636363636363635</v>
      </c>
      <c r="Q851" s="11">
        <f t="shared" si="66"/>
        <v>2.1212121212121213E-2</v>
      </c>
      <c r="R851" s="19">
        <f t="shared" si="67"/>
        <v>1</v>
      </c>
      <c r="S851" s="6">
        <f t="shared" si="68"/>
        <v>1</v>
      </c>
      <c r="T851" s="5">
        <f t="shared" si="69"/>
        <v>1</v>
      </c>
    </row>
    <row r="852" spans="2:20" x14ac:dyDescent="0.25">
      <c r="B852" t="s">
        <v>381</v>
      </c>
      <c r="C852">
        <v>3</v>
      </c>
      <c r="D852">
        <v>8</v>
      </c>
      <c r="E852">
        <v>10</v>
      </c>
      <c r="F852">
        <v>11</v>
      </c>
      <c r="G852">
        <v>7</v>
      </c>
      <c r="H852">
        <v>7</v>
      </c>
      <c r="I852">
        <v>1</v>
      </c>
      <c r="J852">
        <v>5</v>
      </c>
      <c r="K852">
        <v>2</v>
      </c>
      <c r="L852">
        <v>3</v>
      </c>
      <c r="M852">
        <v>10</v>
      </c>
      <c r="N852">
        <v>67</v>
      </c>
      <c r="O852" s="1">
        <v>67</v>
      </c>
      <c r="P852" s="11">
        <f t="shared" si="65"/>
        <v>6.0909090909090908</v>
      </c>
      <c r="Q852" s="11">
        <f t="shared" si="66"/>
        <v>0.20303030303030303</v>
      </c>
      <c r="R852" s="19">
        <f t="shared" si="67"/>
        <v>3</v>
      </c>
      <c r="S852" s="6">
        <f t="shared" si="68"/>
        <v>3</v>
      </c>
      <c r="T852" s="5">
        <f t="shared" si="69"/>
        <v>3</v>
      </c>
    </row>
    <row r="853" spans="2:20" x14ac:dyDescent="0.25">
      <c r="B853" t="s">
        <v>794</v>
      </c>
      <c r="F853">
        <v>1</v>
      </c>
      <c r="N853">
        <v>1</v>
      </c>
      <c r="O853" s="1">
        <v>1</v>
      </c>
      <c r="P853" s="11">
        <f t="shared" si="65"/>
        <v>9.0909090909090912E-2</v>
      </c>
      <c r="Q853" s="11">
        <f t="shared" si="66"/>
        <v>3.0303030303030303E-3</v>
      </c>
      <c r="R853" s="19">
        <f t="shared" si="67"/>
        <v>1</v>
      </c>
      <c r="S853" s="6">
        <f t="shared" si="68"/>
        <v>1</v>
      </c>
      <c r="T853" s="5">
        <f t="shared" si="69"/>
        <v>1</v>
      </c>
    </row>
    <row r="854" spans="2:20" x14ac:dyDescent="0.25">
      <c r="B854" t="s">
        <v>382</v>
      </c>
      <c r="C854">
        <v>2</v>
      </c>
      <c r="D854">
        <v>2</v>
      </c>
      <c r="E854">
        <v>1</v>
      </c>
      <c r="G854">
        <v>1</v>
      </c>
      <c r="I854">
        <v>3</v>
      </c>
      <c r="J854">
        <v>3</v>
      </c>
      <c r="M854">
        <v>4</v>
      </c>
      <c r="N854">
        <v>16</v>
      </c>
      <c r="O854" s="1">
        <v>16</v>
      </c>
      <c r="P854" s="11">
        <f t="shared" si="65"/>
        <v>1.4545454545454546</v>
      </c>
      <c r="Q854" s="11">
        <f t="shared" si="66"/>
        <v>4.8484848484848485E-2</v>
      </c>
      <c r="R854" s="19">
        <f t="shared" si="67"/>
        <v>1</v>
      </c>
      <c r="S854" s="6">
        <f t="shared" si="68"/>
        <v>1</v>
      </c>
      <c r="T854" s="5">
        <f t="shared" si="69"/>
        <v>1</v>
      </c>
    </row>
    <row r="855" spans="2:20" x14ac:dyDescent="0.25">
      <c r="B855" t="s">
        <v>1070</v>
      </c>
      <c r="L855">
        <v>2</v>
      </c>
      <c r="N855">
        <v>2</v>
      </c>
      <c r="O855" s="1">
        <v>2</v>
      </c>
      <c r="P855" s="11">
        <f t="shared" si="65"/>
        <v>0.18181818181818182</v>
      </c>
      <c r="Q855" s="11">
        <f t="shared" si="66"/>
        <v>6.0606060606060606E-3</v>
      </c>
      <c r="R855" s="19">
        <f t="shared" si="67"/>
        <v>1</v>
      </c>
      <c r="S855" s="6">
        <f t="shared" si="68"/>
        <v>1</v>
      </c>
      <c r="T855" s="5">
        <f t="shared" si="69"/>
        <v>1</v>
      </c>
    </row>
    <row r="856" spans="2:20" x14ac:dyDescent="0.25">
      <c r="B856" t="s">
        <v>714</v>
      </c>
      <c r="E856">
        <v>1</v>
      </c>
      <c r="F856">
        <v>1</v>
      </c>
      <c r="K856">
        <v>2</v>
      </c>
      <c r="M856">
        <v>1</v>
      </c>
      <c r="N856">
        <v>5</v>
      </c>
      <c r="O856" s="1">
        <v>5</v>
      </c>
      <c r="P856" s="11">
        <f t="shared" si="65"/>
        <v>0.45454545454545453</v>
      </c>
      <c r="Q856" s="11">
        <f t="shared" si="66"/>
        <v>1.515151515151515E-2</v>
      </c>
      <c r="R856" s="19">
        <f t="shared" si="67"/>
        <v>1</v>
      </c>
      <c r="S856" s="6">
        <f t="shared" si="68"/>
        <v>1</v>
      </c>
      <c r="T856" s="5">
        <f t="shared" si="69"/>
        <v>1</v>
      </c>
    </row>
    <row r="857" spans="2:20" x14ac:dyDescent="0.25">
      <c r="B857" t="s">
        <v>795</v>
      </c>
      <c r="F857">
        <v>2</v>
      </c>
      <c r="J857">
        <v>0</v>
      </c>
      <c r="K857">
        <v>0</v>
      </c>
      <c r="N857">
        <v>2</v>
      </c>
      <c r="O857" s="1">
        <v>2</v>
      </c>
      <c r="P857" s="11">
        <f t="shared" si="65"/>
        <v>0.18181818181818182</v>
      </c>
      <c r="Q857" s="11">
        <f t="shared" si="66"/>
        <v>6.0606060606060606E-3</v>
      </c>
      <c r="R857" s="19">
        <f t="shared" si="67"/>
        <v>1</v>
      </c>
      <c r="S857" s="6">
        <f t="shared" si="68"/>
        <v>1</v>
      </c>
      <c r="T857" s="5">
        <f t="shared" si="69"/>
        <v>1</v>
      </c>
    </row>
    <row r="858" spans="2:20" x14ac:dyDescent="0.25">
      <c r="B858" t="s">
        <v>383</v>
      </c>
      <c r="C858">
        <v>0</v>
      </c>
      <c r="G858">
        <v>0</v>
      </c>
      <c r="H858">
        <v>0</v>
      </c>
      <c r="I858">
        <v>1</v>
      </c>
      <c r="J858">
        <v>0</v>
      </c>
      <c r="N858">
        <v>1</v>
      </c>
      <c r="O858" s="1">
        <v>1</v>
      </c>
      <c r="P858" s="11">
        <f t="shared" si="65"/>
        <v>9.0909090909090912E-2</v>
      </c>
      <c r="Q858" s="11">
        <f t="shared" si="66"/>
        <v>3.0303030303030303E-3</v>
      </c>
      <c r="R858" s="19">
        <f t="shared" si="67"/>
        <v>1</v>
      </c>
      <c r="S858" s="6">
        <f t="shared" si="68"/>
        <v>1</v>
      </c>
      <c r="T858" s="5">
        <f t="shared" si="69"/>
        <v>1</v>
      </c>
    </row>
    <row r="859" spans="2:20" x14ac:dyDescent="0.25">
      <c r="B859" t="s">
        <v>384</v>
      </c>
      <c r="C859">
        <v>22</v>
      </c>
      <c r="D859">
        <v>6</v>
      </c>
      <c r="F859">
        <v>4</v>
      </c>
      <c r="G859">
        <v>16</v>
      </c>
      <c r="H859">
        <v>2</v>
      </c>
      <c r="I859">
        <v>4</v>
      </c>
      <c r="J859">
        <v>14</v>
      </c>
      <c r="K859">
        <v>3</v>
      </c>
      <c r="L859">
        <v>4</v>
      </c>
      <c r="M859">
        <v>0</v>
      </c>
      <c r="N859">
        <v>75</v>
      </c>
      <c r="O859" s="1">
        <v>75</v>
      </c>
      <c r="P859" s="11">
        <f t="shared" si="65"/>
        <v>6.8181818181818183</v>
      </c>
      <c r="Q859" s="11">
        <f t="shared" si="66"/>
        <v>0.22727272727272727</v>
      </c>
      <c r="R859" s="19">
        <f t="shared" si="67"/>
        <v>5</v>
      </c>
      <c r="S859" s="6">
        <f t="shared" si="68"/>
        <v>3</v>
      </c>
      <c r="T859" s="5">
        <f t="shared" si="69"/>
        <v>3</v>
      </c>
    </row>
    <row r="860" spans="2:20" x14ac:dyDescent="0.25">
      <c r="B860" t="s">
        <v>796</v>
      </c>
      <c r="F860">
        <v>1</v>
      </c>
      <c r="H860">
        <v>1</v>
      </c>
      <c r="N860">
        <v>2</v>
      </c>
      <c r="O860" s="1">
        <v>2</v>
      </c>
      <c r="P860" s="11">
        <f t="shared" si="65"/>
        <v>0.18181818181818182</v>
      </c>
      <c r="Q860" s="11">
        <f t="shared" si="66"/>
        <v>6.0606060606060606E-3</v>
      </c>
      <c r="R860" s="19">
        <f t="shared" si="67"/>
        <v>1</v>
      </c>
      <c r="S860" s="6">
        <f t="shared" si="68"/>
        <v>1</v>
      </c>
      <c r="T860" s="5">
        <f t="shared" si="69"/>
        <v>1</v>
      </c>
    </row>
    <row r="861" spans="2:20" x14ac:dyDescent="0.25">
      <c r="B861" t="s">
        <v>385</v>
      </c>
      <c r="C861">
        <v>158</v>
      </c>
      <c r="D861">
        <v>57</v>
      </c>
      <c r="E861">
        <v>2</v>
      </c>
      <c r="F861">
        <v>21</v>
      </c>
      <c r="G861">
        <v>203</v>
      </c>
      <c r="H861">
        <v>20</v>
      </c>
      <c r="I861">
        <v>12</v>
      </c>
      <c r="K861">
        <v>21</v>
      </c>
      <c r="L861">
        <v>38</v>
      </c>
      <c r="N861">
        <v>532</v>
      </c>
      <c r="O861" s="1">
        <v>532</v>
      </c>
      <c r="P861" s="11">
        <f t="shared" si="65"/>
        <v>48.363636363636367</v>
      </c>
      <c r="Q861" s="11">
        <f t="shared" si="66"/>
        <v>1.6121212121212123</v>
      </c>
      <c r="R861" s="19">
        <f t="shared" si="67"/>
        <v>23</v>
      </c>
      <c r="S861" s="6">
        <f t="shared" si="68"/>
        <v>17</v>
      </c>
      <c r="T861" s="5">
        <f t="shared" si="69"/>
        <v>13</v>
      </c>
    </row>
    <row r="862" spans="2:20" x14ac:dyDescent="0.25">
      <c r="B862" t="s">
        <v>715</v>
      </c>
      <c r="E862">
        <v>1</v>
      </c>
      <c r="N862">
        <v>1</v>
      </c>
      <c r="O862" s="1">
        <v>1</v>
      </c>
      <c r="P862" s="11">
        <f t="shared" si="65"/>
        <v>9.0909090909090912E-2</v>
      </c>
      <c r="Q862" s="11">
        <f t="shared" si="66"/>
        <v>3.0303030303030303E-3</v>
      </c>
      <c r="R862" s="19">
        <f t="shared" si="67"/>
        <v>1</v>
      </c>
      <c r="S862" s="6">
        <f t="shared" si="68"/>
        <v>1</v>
      </c>
      <c r="T862" s="5">
        <f t="shared" si="69"/>
        <v>1</v>
      </c>
    </row>
    <row r="863" spans="2:20" x14ac:dyDescent="0.25">
      <c r="B863" t="s">
        <v>386</v>
      </c>
      <c r="C863">
        <v>2</v>
      </c>
      <c r="F863">
        <v>1</v>
      </c>
      <c r="I863">
        <v>5</v>
      </c>
      <c r="M863">
        <v>1</v>
      </c>
      <c r="N863">
        <v>9</v>
      </c>
      <c r="O863" s="1">
        <v>9</v>
      </c>
      <c r="P863" s="11">
        <f t="shared" si="65"/>
        <v>0.81818181818181823</v>
      </c>
      <c r="Q863" s="11">
        <f t="shared" si="66"/>
        <v>2.7272727272727275E-2</v>
      </c>
      <c r="R863" s="19">
        <f t="shared" si="67"/>
        <v>1</v>
      </c>
      <c r="S863" s="6">
        <f t="shared" si="68"/>
        <v>1</v>
      </c>
      <c r="T863" s="5">
        <f t="shared" si="69"/>
        <v>1</v>
      </c>
    </row>
    <row r="864" spans="2:20" x14ac:dyDescent="0.25">
      <c r="B864" t="s">
        <v>621</v>
      </c>
      <c r="D864">
        <v>6</v>
      </c>
      <c r="L864">
        <v>9</v>
      </c>
      <c r="N864">
        <v>15</v>
      </c>
      <c r="O864" s="1">
        <v>15</v>
      </c>
      <c r="P864" s="11">
        <f t="shared" si="65"/>
        <v>1.3636363636363635</v>
      </c>
      <c r="Q864" s="11">
        <f t="shared" si="66"/>
        <v>4.5454545454545449E-2</v>
      </c>
      <c r="R864" s="19">
        <f t="shared" si="67"/>
        <v>1</v>
      </c>
      <c r="S864" s="6">
        <f t="shared" si="68"/>
        <v>1</v>
      </c>
      <c r="T864" s="5">
        <f t="shared" si="69"/>
        <v>1</v>
      </c>
    </row>
    <row r="865" spans="2:20" x14ac:dyDescent="0.25">
      <c r="B865" t="s">
        <v>387</v>
      </c>
      <c r="C865">
        <v>2</v>
      </c>
      <c r="N865">
        <v>2</v>
      </c>
      <c r="O865" s="1">
        <v>2</v>
      </c>
      <c r="P865" s="11">
        <f t="shared" si="65"/>
        <v>0.18181818181818182</v>
      </c>
      <c r="Q865" s="11">
        <f t="shared" si="66"/>
        <v>6.0606060606060606E-3</v>
      </c>
      <c r="R865" s="19">
        <f t="shared" si="67"/>
        <v>1</v>
      </c>
      <c r="S865" s="6">
        <f t="shared" si="68"/>
        <v>1</v>
      </c>
      <c r="T865" s="5">
        <f t="shared" si="69"/>
        <v>1</v>
      </c>
    </row>
    <row r="866" spans="2:20" x14ac:dyDescent="0.25">
      <c r="B866" t="s">
        <v>716</v>
      </c>
      <c r="E866">
        <v>1</v>
      </c>
      <c r="H866">
        <v>1</v>
      </c>
      <c r="I866">
        <v>1</v>
      </c>
      <c r="L866">
        <v>1</v>
      </c>
      <c r="N866">
        <v>4</v>
      </c>
      <c r="O866" s="1">
        <v>4</v>
      </c>
      <c r="P866" s="11">
        <f t="shared" si="65"/>
        <v>0.36363636363636365</v>
      </c>
      <c r="Q866" s="11">
        <f t="shared" si="66"/>
        <v>1.2121212121212121E-2</v>
      </c>
      <c r="R866" s="19">
        <f t="shared" si="67"/>
        <v>1</v>
      </c>
      <c r="S866" s="6">
        <f t="shared" si="68"/>
        <v>1</v>
      </c>
      <c r="T866" s="5">
        <f t="shared" si="69"/>
        <v>1</v>
      </c>
    </row>
    <row r="867" spans="2:20" x14ac:dyDescent="0.25">
      <c r="B867" t="s">
        <v>388</v>
      </c>
      <c r="C867">
        <v>1</v>
      </c>
      <c r="J867">
        <v>1</v>
      </c>
      <c r="K867">
        <v>1</v>
      </c>
      <c r="M867">
        <v>1</v>
      </c>
      <c r="N867">
        <v>4</v>
      </c>
      <c r="O867" s="1">
        <v>4</v>
      </c>
      <c r="P867" s="11">
        <f t="shared" si="65"/>
        <v>0.36363636363636365</v>
      </c>
      <c r="Q867" s="11">
        <f t="shared" si="66"/>
        <v>1.2121212121212121E-2</v>
      </c>
      <c r="R867" s="19">
        <f t="shared" si="67"/>
        <v>1</v>
      </c>
      <c r="S867" s="6">
        <f t="shared" si="68"/>
        <v>1</v>
      </c>
      <c r="T867" s="5">
        <f t="shared" si="69"/>
        <v>1</v>
      </c>
    </row>
    <row r="868" spans="2:20" x14ac:dyDescent="0.25">
      <c r="B868" t="s">
        <v>797</v>
      </c>
      <c r="F868">
        <v>5</v>
      </c>
      <c r="N868">
        <v>5</v>
      </c>
      <c r="O868" s="1">
        <v>5</v>
      </c>
      <c r="P868" s="11">
        <f t="shared" si="65"/>
        <v>0.45454545454545453</v>
      </c>
      <c r="Q868" s="11">
        <f t="shared" si="66"/>
        <v>1.515151515151515E-2</v>
      </c>
      <c r="R868" s="19">
        <f t="shared" si="67"/>
        <v>1</v>
      </c>
      <c r="S868" s="6">
        <f t="shared" si="68"/>
        <v>1</v>
      </c>
      <c r="T868" s="5">
        <f t="shared" si="69"/>
        <v>1</v>
      </c>
    </row>
    <row r="869" spans="2:20" x14ac:dyDescent="0.25">
      <c r="B869" t="s">
        <v>899</v>
      </c>
      <c r="H869">
        <v>1</v>
      </c>
      <c r="N869">
        <v>1</v>
      </c>
      <c r="O869" s="1">
        <v>1</v>
      </c>
      <c r="P869" s="11">
        <f t="shared" si="65"/>
        <v>9.0909090909090912E-2</v>
      </c>
      <c r="Q869" s="11">
        <f t="shared" si="66"/>
        <v>3.0303030303030303E-3</v>
      </c>
      <c r="R869" s="19">
        <f t="shared" si="67"/>
        <v>1</v>
      </c>
      <c r="S869" s="6">
        <f t="shared" si="68"/>
        <v>1</v>
      </c>
      <c r="T869" s="5">
        <f t="shared" si="69"/>
        <v>1</v>
      </c>
    </row>
    <row r="870" spans="2:20" x14ac:dyDescent="0.25">
      <c r="B870" t="s">
        <v>1071</v>
      </c>
      <c r="L870">
        <v>1</v>
      </c>
      <c r="N870">
        <v>1</v>
      </c>
      <c r="O870" s="1">
        <v>1</v>
      </c>
      <c r="P870" s="11">
        <f t="shared" si="65"/>
        <v>9.0909090909090912E-2</v>
      </c>
      <c r="Q870" s="11">
        <f t="shared" si="66"/>
        <v>3.0303030303030303E-3</v>
      </c>
      <c r="R870" s="19">
        <f t="shared" si="67"/>
        <v>1</v>
      </c>
      <c r="S870" s="6">
        <f t="shared" si="68"/>
        <v>1</v>
      </c>
      <c r="T870" s="5">
        <f t="shared" si="69"/>
        <v>1</v>
      </c>
    </row>
    <row r="871" spans="2:20" x14ac:dyDescent="0.25">
      <c r="B871" t="s">
        <v>717</v>
      </c>
      <c r="E871">
        <v>1</v>
      </c>
      <c r="F871">
        <v>3</v>
      </c>
      <c r="H871">
        <v>2</v>
      </c>
      <c r="I871">
        <v>1</v>
      </c>
      <c r="K871">
        <v>1</v>
      </c>
      <c r="L871">
        <v>1</v>
      </c>
      <c r="N871">
        <v>9</v>
      </c>
      <c r="O871" s="1">
        <v>9</v>
      </c>
      <c r="P871" s="11">
        <f t="shared" si="65"/>
        <v>0.81818181818181823</v>
      </c>
      <c r="Q871" s="11">
        <f t="shared" si="66"/>
        <v>2.7272727272727275E-2</v>
      </c>
      <c r="R871" s="19">
        <f t="shared" si="67"/>
        <v>1</v>
      </c>
      <c r="S871" s="6">
        <f t="shared" si="68"/>
        <v>1</v>
      </c>
      <c r="T871" s="5">
        <f t="shared" si="69"/>
        <v>1</v>
      </c>
    </row>
    <row r="872" spans="2:20" x14ac:dyDescent="0.25">
      <c r="B872" t="s">
        <v>389</v>
      </c>
      <c r="C872">
        <v>9</v>
      </c>
      <c r="D872">
        <v>9</v>
      </c>
      <c r="E872">
        <v>18</v>
      </c>
      <c r="F872">
        <v>12</v>
      </c>
      <c r="G872">
        <v>5</v>
      </c>
      <c r="H872">
        <v>12</v>
      </c>
      <c r="I872">
        <v>12</v>
      </c>
      <c r="J872">
        <v>10</v>
      </c>
      <c r="K872">
        <v>10</v>
      </c>
      <c r="L872">
        <v>10</v>
      </c>
      <c r="M872">
        <v>11</v>
      </c>
      <c r="N872">
        <v>118</v>
      </c>
      <c r="O872" s="1">
        <v>118</v>
      </c>
      <c r="P872" s="11">
        <f t="shared" si="65"/>
        <v>10.727272727272727</v>
      </c>
      <c r="Q872" s="11">
        <f t="shared" si="66"/>
        <v>0.35757575757575755</v>
      </c>
      <c r="R872" s="19">
        <f t="shared" si="67"/>
        <v>7</v>
      </c>
      <c r="S872" s="6">
        <f t="shared" si="68"/>
        <v>5</v>
      </c>
      <c r="T872" s="5">
        <f t="shared" si="69"/>
        <v>3</v>
      </c>
    </row>
    <row r="873" spans="2:20" x14ac:dyDescent="0.25">
      <c r="B873" t="s">
        <v>945</v>
      </c>
      <c r="I873">
        <v>1</v>
      </c>
      <c r="N873">
        <v>1</v>
      </c>
      <c r="O873" s="1">
        <v>1</v>
      </c>
      <c r="P873" s="11">
        <f t="shared" si="65"/>
        <v>9.0909090909090912E-2</v>
      </c>
      <c r="Q873" s="11">
        <f t="shared" si="66"/>
        <v>3.0303030303030303E-3</v>
      </c>
      <c r="R873" s="19">
        <f t="shared" si="67"/>
        <v>1</v>
      </c>
      <c r="S873" s="6">
        <f t="shared" si="68"/>
        <v>1</v>
      </c>
      <c r="T873" s="5">
        <f t="shared" si="69"/>
        <v>1</v>
      </c>
    </row>
    <row r="874" spans="2:20" x14ac:dyDescent="0.25">
      <c r="B874" t="s">
        <v>390</v>
      </c>
      <c r="C874">
        <v>7</v>
      </c>
      <c r="G874">
        <v>31</v>
      </c>
      <c r="H874">
        <v>25</v>
      </c>
      <c r="L874">
        <v>5</v>
      </c>
      <c r="N874">
        <v>68</v>
      </c>
      <c r="O874" s="1">
        <v>68</v>
      </c>
      <c r="P874" s="11">
        <f t="shared" si="65"/>
        <v>6.1818181818181817</v>
      </c>
      <c r="Q874" s="11">
        <f t="shared" si="66"/>
        <v>0.20606060606060606</v>
      </c>
      <c r="R874" s="19">
        <f t="shared" si="67"/>
        <v>3</v>
      </c>
      <c r="S874" s="6">
        <f t="shared" si="68"/>
        <v>3</v>
      </c>
      <c r="T874" s="5">
        <f t="shared" si="69"/>
        <v>3</v>
      </c>
    </row>
    <row r="875" spans="2:20" x14ac:dyDescent="0.25">
      <c r="B875" t="s">
        <v>391</v>
      </c>
      <c r="C875">
        <v>1</v>
      </c>
      <c r="N875">
        <v>1</v>
      </c>
      <c r="O875" s="1">
        <v>1</v>
      </c>
      <c r="P875" s="11">
        <f t="shared" si="65"/>
        <v>9.0909090909090912E-2</v>
      </c>
      <c r="Q875" s="11">
        <f t="shared" si="66"/>
        <v>3.0303030303030303E-3</v>
      </c>
      <c r="R875" s="19">
        <f t="shared" si="67"/>
        <v>1</v>
      </c>
      <c r="S875" s="6">
        <f t="shared" si="68"/>
        <v>1</v>
      </c>
      <c r="T875" s="5">
        <f t="shared" si="69"/>
        <v>1</v>
      </c>
    </row>
    <row r="876" spans="2:20" x14ac:dyDescent="0.25">
      <c r="B876" t="s">
        <v>900</v>
      </c>
      <c r="H876">
        <v>2</v>
      </c>
      <c r="M876">
        <v>2</v>
      </c>
      <c r="N876">
        <v>4</v>
      </c>
      <c r="O876" s="1">
        <v>4</v>
      </c>
      <c r="P876" s="11">
        <f t="shared" si="65"/>
        <v>0.36363636363636365</v>
      </c>
      <c r="Q876" s="11">
        <f t="shared" si="66"/>
        <v>1.2121212121212121E-2</v>
      </c>
      <c r="R876" s="19">
        <f t="shared" si="67"/>
        <v>1</v>
      </c>
      <c r="S876" s="6">
        <f t="shared" si="68"/>
        <v>1</v>
      </c>
      <c r="T876" s="5">
        <f t="shared" si="69"/>
        <v>1</v>
      </c>
    </row>
    <row r="877" spans="2:20" x14ac:dyDescent="0.25">
      <c r="B877" t="s">
        <v>392</v>
      </c>
      <c r="C877">
        <v>5</v>
      </c>
      <c r="D877">
        <v>6</v>
      </c>
      <c r="E877">
        <v>7</v>
      </c>
      <c r="F877">
        <v>6</v>
      </c>
      <c r="G877">
        <v>5</v>
      </c>
      <c r="H877">
        <v>6</v>
      </c>
      <c r="I877">
        <v>2</v>
      </c>
      <c r="J877">
        <v>6</v>
      </c>
      <c r="K877">
        <v>7</v>
      </c>
      <c r="L877">
        <v>5</v>
      </c>
      <c r="M877">
        <v>1</v>
      </c>
      <c r="N877">
        <v>56</v>
      </c>
      <c r="O877" s="1">
        <v>56</v>
      </c>
      <c r="P877" s="11">
        <f t="shared" si="65"/>
        <v>5.0909090909090908</v>
      </c>
      <c r="Q877" s="11">
        <f t="shared" si="66"/>
        <v>0.16969696969696971</v>
      </c>
      <c r="R877" s="19">
        <f t="shared" si="67"/>
        <v>3</v>
      </c>
      <c r="S877" s="6">
        <f t="shared" si="68"/>
        <v>3</v>
      </c>
      <c r="T877" s="5">
        <f t="shared" si="69"/>
        <v>3</v>
      </c>
    </row>
    <row r="878" spans="2:20" x14ac:dyDescent="0.25">
      <c r="B878" t="s">
        <v>393</v>
      </c>
      <c r="C878">
        <v>3</v>
      </c>
      <c r="D878">
        <v>3</v>
      </c>
      <c r="E878">
        <v>2</v>
      </c>
      <c r="F878">
        <v>7</v>
      </c>
      <c r="G878">
        <v>4</v>
      </c>
      <c r="H878">
        <v>2</v>
      </c>
      <c r="J878">
        <v>2</v>
      </c>
      <c r="K878">
        <v>2</v>
      </c>
      <c r="L878">
        <v>3</v>
      </c>
      <c r="M878">
        <v>7</v>
      </c>
      <c r="N878">
        <v>35</v>
      </c>
      <c r="O878" s="1">
        <v>35</v>
      </c>
      <c r="P878" s="11">
        <f t="shared" si="65"/>
        <v>3.1818181818181817</v>
      </c>
      <c r="Q878" s="11">
        <f t="shared" si="66"/>
        <v>0.10606060606060605</v>
      </c>
      <c r="R878" s="19">
        <f t="shared" si="67"/>
        <v>3</v>
      </c>
      <c r="S878" s="6">
        <f t="shared" si="68"/>
        <v>3</v>
      </c>
      <c r="T878" s="5">
        <f t="shared" si="69"/>
        <v>1</v>
      </c>
    </row>
    <row r="879" spans="2:20" x14ac:dyDescent="0.25">
      <c r="B879" t="s">
        <v>394</v>
      </c>
      <c r="C879">
        <v>6</v>
      </c>
      <c r="D879">
        <v>4</v>
      </c>
      <c r="E879">
        <v>1</v>
      </c>
      <c r="F879">
        <v>5</v>
      </c>
      <c r="G879">
        <v>2</v>
      </c>
      <c r="H879">
        <v>4</v>
      </c>
      <c r="I879">
        <v>2</v>
      </c>
      <c r="J879">
        <v>1</v>
      </c>
      <c r="K879">
        <v>4</v>
      </c>
      <c r="L879">
        <v>2</v>
      </c>
      <c r="M879">
        <v>2</v>
      </c>
      <c r="N879">
        <v>33</v>
      </c>
      <c r="O879" s="1">
        <v>33</v>
      </c>
      <c r="P879" s="11">
        <f t="shared" si="65"/>
        <v>3</v>
      </c>
      <c r="Q879" s="11">
        <f t="shared" si="66"/>
        <v>0.1</v>
      </c>
      <c r="R879" s="19">
        <f t="shared" si="67"/>
        <v>3</v>
      </c>
      <c r="S879" s="6">
        <f t="shared" si="68"/>
        <v>3</v>
      </c>
      <c r="T879" s="5">
        <f t="shared" si="69"/>
        <v>1</v>
      </c>
    </row>
    <row r="880" spans="2:20" x14ac:dyDescent="0.25">
      <c r="B880" t="s">
        <v>395</v>
      </c>
      <c r="C880">
        <v>2</v>
      </c>
      <c r="D880">
        <v>3</v>
      </c>
      <c r="E880">
        <v>2</v>
      </c>
      <c r="F880">
        <v>1</v>
      </c>
      <c r="N880">
        <v>8</v>
      </c>
      <c r="O880" s="1">
        <v>8</v>
      </c>
      <c r="P880" s="11">
        <f t="shared" si="65"/>
        <v>0.72727272727272729</v>
      </c>
      <c r="Q880" s="11">
        <f t="shared" si="66"/>
        <v>2.4242424242424242E-2</v>
      </c>
      <c r="R880" s="19">
        <f t="shared" si="67"/>
        <v>1</v>
      </c>
      <c r="S880" s="6">
        <f t="shared" si="68"/>
        <v>1</v>
      </c>
      <c r="T880" s="5">
        <f t="shared" si="69"/>
        <v>1</v>
      </c>
    </row>
    <row r="881" spans="2:20" x14ac:dyDescent="0.25">
      <c r="B881" t="s">
        <v>946</v>
      </c>
      <c r="I881">
        <v>1</v>
      </c>
      <c r="N881">
        <v>1</v>
      </c>
      <c r="O881" s="1">
        <v>1</v>
      </c>
      <c r="P881" s="11">
        <f t="shared" si="65"/>
        <v>9.0909090909090912E-2</v>
      </c>
      <c r="Q881" s="11">
        <f t="shared" si="66"/>
        <v>3.0303030303030303E-3</v>
      </c>
      <c r="R881" s="19">
        <f t="shared" si="67"/>
        <v>1</v>
      </c>
      <c r="S881" s="6">
        <f t="shared" si="68"/>
        <v>1</v>
      </c>
      <c r="T881" s="5">
        <f t="shared" si="69"/>
        <v>1</v>
      </c>
    </row>
    <row r="882" spans="2:20" x14ac:dyDescent="0.25">
      <c r="B882" t="s">
        <v>1102</v>
      </c>
      <c r="M882">
        <v>1</v>
      </c>
      <c r="N882">
        <v>1</v>
      </c>
      <c r="O882" s="1">
        <v>1</v>
      </c>
      <c r="P882" s="11">
        <f t="shared" si="65"/>
        <v>9.0909090909090912E-2</v>
      </c>
      <c r="Q882" s="11">
        <f t="shared" si="66"/>
        <v>3.0303030303030303E-3</v>
      </c>
      <c r="R882" s="19">
        <f t="shared" si="67"/>
        <v>1</v>
      </c>
      <c r="S882" s="6">
        <f t="shared" si="68"/>
        <v>1</v>
      </c>
      <c r="T882" s="5">
        <f t="shared" si="69"/>
        <v>1</v>
      </c>
    </row>
    <row r="883" spans="2:20" x14ac:dyDescent="0.25">
      <c r="B883" t="s">
        <v>396</v>
      </c>
      <c r="C883">
        <v>1</v>
      </c>
      <c r="F883">
        <v>1</v>
      </c>
      <c r="G883">
        <v>1</v>
      </c>
      <c r="H883">
        <v>1</v>
      </c>
      <c r="J883">
        <v>1</v>
      </c>
      <c r="L883">
        <v>1</v>
      </c>
      <c r="M883">
        <v>3</v>
      </c>
      <c r="N883">
        <v>9</v>
      </c>
      <c r="O883" s="1">
        <v>9</v>
      </c>
      <c r="P883" s="11">
        <f t="shared" si="65"/>
        <v>0.81818181818181823</v>
      </c>
      <c r="Q883" s="11">
        <f t="shared" si="66"/>
        <v>2.7272727272727275E-2</v>
      </c>
      <c r="R883" s="19">
        <f t="shared" si="67"/>
        <v>1</v>
      </c>
      <c r="S883" s="6">
        <f t="shared" si="68"/>
        <v>1</v>
      </c>
      <c r="T883" s="5">
        <f t="shared" si="69"/>
        <v>1</v>
      </c>
    </row>
    <row r="884" spans="2:20" x14ac:dyDescent="0.25">
      <c r="B884" t="s">
        <v>1024</v>
      </c>
      <c r="K884">
        <v>1</v>
      </c>
      <c r="N884">
        <v>1</v>
      </c>
      <c r="O884" s="1">
        <v>1</v>
      </c>
      <c r="P884" s="11">
        <f t="shared" si="65"/>
        <v>9.0909090909090912E-2</v>
      </c>
      <c r="Q884" s="11">
        <f t="shared" si="66"/>
        <v>3.0303030303030303E-3</v>
      </c>
      <c r="R884" s="19">
        <f t="shared" si="67"/>
        <v>1</v>
      </c>
      <c r="S884" s="6">
        <f t="shared" si="68"/>
        <v>1</v>
      </c>
      <c r="T884" s="5">
        <f t="shared" si="69"/>
        <v>1</v>
      </c>
    </row>
    <row r="885" spans="2:20" x14ac:dyDescent="0.25">
      <c r="B885" t="s">
        <v>718</v>
      </c>
      <c r="E885">
        <v>22</v>
      </c>
      <c r="F885">
        <v>23</v>
      </c>
      <c r="G885">
        <v>9</v>
      </c>
      <c r="I885">
        <v>4</v>
      </c>
      <c r="J885">
        <v>1</v>
      </c>
      <c r="K885">
        <v>6</v>
      </c>
      <c r="L885">
        <v>5</v>
      </c>
      <c r="M885">
        <v>4</v>
      </c>
      <c r="N885">
        <v>74</v>
      </c>
      <c r="O885" s="1">
        <v>74</v>
      </c>
      <c r="P885" s="11">
        <f t="shared" si="65"/>
        <v>6.7272727272727275</v>
      </c>
      <c r="Q885" s="11">
        <f t="shared" si="66"/>
        <v>0.22424242424242424</v>
      </c>
      <c r="R885" s="19">
        <f t="shared" si="67"/>
        <v>5</v>
      </c>
      <c r="S885" s="6">
        <f t="shared" si="68"/>
        <v>3</v>
      </c>
      <c r="T885" s="5">
        <f t="shared" si="69"/>
        <v>3</v>
      </c>
    </row>
    <row r="886" spans="2:20" x14ac:dyDescent="0.25">
      <c r="B886" t="s">
        <v>397</v>
      </c>
      <c r="C886">
        <v>160</v>
      </c>
      <c r="D886">
        <v>181</v>
      </c>
      <c r="E886">
        <v>-2</v>
      </c>
      <c r="F886">
        <v>47</v>
      </c>
      <c r="G886">
        <v>114</v>
      </c>
      <c r="H886">
        <v>112</v>
      </c>
      <c r="I886">
        <v>12</v>
      </c>
      <c r="J886">
        <v>30</v>
      </c>
      <c r="K886">
        <v>6</v>
      </c>
      <c r="L886">
        <v>49</v>
      </c>
      <c r="N886">
        <v>709</v>
      </c>
      <c r="O886" s="1">
        <v>709</v>
      </c>
      <c r="P886" s="11">
        <f t="shared" si="65"/>
        <v>64.454545454545453</v>
      </c>
      <c r="Q886" s="11">
        <f t="shared" si="66"/>
        <v>2.1484848484848484</v>
      </c>
      <c r="R886" s="19">
        <f t="shared" si="67"/>
        <v>31</v>
      </c>
      <c r="S886" s="6">
        <f t="shared" si="68"/>
        <v>23</v>
      </c>
      <c r="T886" s="5">
        <f t="shared" si="69"/>
        <v>17</v>
      </c>
    </row>
    <row r="887" spans="2:20" x14ac:dyDescent="0.25">
      <c r="B887" t="s">
        <v>398</v>
      </c>
      <c r="C887">
        <v>9</v>
      </c>
      <c r="D887">
        <v>7</v>
      </c>
      <c r="E887">
        <v>3</v>
      </c>
      <c r="F887">
        <v>2</v>
      </c>
      <c r="G887">
        <v>6</v>
      </c>
      <c r="H887">
        <v>3</v>
      </c>
      <c r="I887">
        <v>11</v>
      </c>
      <c r="J887">
        <v>13</v>
      </c>
      <c r="K887">
        <v>13</v>
      </c>
      <c r="L887">
        <v>3</v>
      </c>
      <c r="M887">
        <v>11</v>
      </c>
      <c r="N887">
        <v>81</v>
      </c>
      <c r="O887" s="1">
        <v>81</v>
      </c>
      <c r="P887" s="11">
        <f t="shared" si="65"/>
        <v>7.3636363636363633</v>
      </c>
      <c r="Q887" s="11">
        <f t="shared" si="66"/>
        <v>0.24545454545454545</v>
      </c>
      <c r="R887" s="19">
        <f t="shared" si="67"/>
        <v>5</v>
      </c>
      <c r="S887" s="6">
        <f t="shared" si="68"/>
        <v>3</v>
      </c>
      <c r="T887" s="5">
        <f t="shared" si="69"/>
        <v>3</v>
      </c>
    </row>
    <row r="888" spans="2:20" x14ac:dyDescent="0.25">
      <c r="B888" t="s">
        <v>798</v>
      </c>
      <c r="F888">
        <v>1</v>
      </c>
      <c r="G888">
        <v>1</v>
      </c>
      <c r="N888">
        <v>2</v>
      </c>
      <c r="O888" s="1">
        <v>2</v>
      </c>
      <c r="P888" s="11">
        <f t="shared" si="65"/>
        <v>0.18181818181818182</v>
      </c>
      <c r="Q888" s="11">
        <f t="shared" si="66"/>
        <v>6.0606060606060606E-3</v>
      </c>
      <c r="R888" s="19">
        <f t="shared" si="67"/>
        <v>1</v>
      </c>
      <c r="S888" s="6">
        <f t="shared" si="68"/>
        <v>1</v>
      </c>
      <c r="T888" s="5">
        <f t="shared" si="69"/>
        <v>1</v>
      </c>
    </row>
    <row r="889" spans="2:20" x14ac:dyDescent="0.25">
      <c r="B889" t="s">
        <v>399</v>
      </c>
      <c r="C889">
        <v>3</v>
      </c>
      <c r="N889">
        <v>3</v>
      </c>
      <c r="O889" s="1">
        <v>3</v>
      </c>
      <c r="P889" s="11">
        <f t="shared" si="65"/>
        <v>0.27272727272727271</v>
      </c>
      <c r="Q889" s="11">
        <f t="shared" si="66"/>
        <v>9.0909090909090905E-3</v>
      </c>
      <c r="R889" s="19">
        <f t="shared" si="67"/>
        <v>1</v>
      </c>
      <c r="S889" s="6">
        <f t="shared" si="68"/>
        <v>1</v>
      </c>
      <c r="T889" s="5">
        <f t="shared" si="69"/>
        <v>1</v>
      </c>
    </row>
    <row r="890" spans="2:20" x14ac:dyDescent="0.25">
      <c r="B890" t="s">
        <v>400</v>
      </c>
      <c r="C890">
        <v>1</v>
      </c>
      <c r="N890">
        <v>1</v>
      </c>
      <c r="O890" s="1">
        <v>1</v>
      </c>
      <c r="P890" s="11">
        <f t="shared" si="65"/>
        <v>9.0909090909090912E-2</v>
      </c>
      <c r="Q890" s="11">
        <f t="shared" si="66"/>
        <v>3.0303030303030303E-3</v>
      </c>
      <c r="R890" s="19">
        <f t="shared" si="67"/>
        <v>1</v>
      </c>
      <c r="S890" s="6">
        <f t="shared" si="68"/>
        <v>1</v>
      </c>
      <c r="T890" s="5">
        <f t="shared" si="69"/>
        <v>1</v>
      </c>
    </row>
    <row r="891" spans="2:20" x14ac:dyDescent="0.25">
      <c r="B891" t="s">
        <v>401</v>
      </c>
      <c r="C891">
        <v>1</v>
      </c>
      <c r="N891">
        <v>1</v>
      </c>
      <c r="O891" s="1">
        <v>1</v>
      </c>
      <c r="P891" s="11">
        <f t="shared" si="65"/>
        <v>9.0909090909090912E-2</v>
      </c>
      <c r="Q891" s="11">
        <f t="shared" si="66"/>
        <v>3.0303030303030303E-3</v>
      </c>
      <c r="R891" s="19">
        <f t="shared" si="67"/>
        <v>1</v>
      </c>
      <c r="S891" s="6">
        <f t="shared" si="68"/>
        <v>1</v>
      </c>
      <c r="T891" s="5">
        <f t="shared" si="69"/>
        <v>1</v>
      </c>
    </row>
    <row r="892" spans="2:20" x14ac:dyDescent="0.25">
      <c r="B892" t="s">
        <v>1025</v>
      </c>
      <c r="K892">
        <v>1</v>
      </c>
      <c r="N892">
        <v>1</v>
      </c>
      <c r="O892" s="1">
        <v>1</v>
      </c>
      <c r="P892" s="11">
        <f t="shared" si="65"/>
        <v>9.0909090909090912E-2</v>
      </c>
      <c r="Q892" s="11">
        <f t="shared" si="66"/>
        <v>3.0303030303030303E-3</v>
      </c>
      <c r="R892" s="19">
        <f t="shared" si="67"/>
        <v>1</v>
      </c>
      <c r="S892" s="6">
        <f t="shared" si="68"/>
        <v>1</v>
      </c>
      <c r="T892" s="5">
        <f t="shared" si="69"/>
        <v>1</v>
      </c>
    </row>
    <row r="893" spans="2:20" x14ac:dyDescent="0.25">
      <c r="B893" t="s">
        <v>844</v>
      </c>
      <c r="G893">
        <v>1</v>
      </c>
      <c r="N893">
        <v>1</v>
      </c>
      <c r="O893" s="1">
        <v>1</v>
      </c>
      <c r="P893" s="11">
        <f t="shared" si="65"/>
        <v>9.0909090909090912E-2</v>
      </c>
      <c r="Q893" s="11">
        <f t="shared" si="66"/>
        <v>3.0303030303030303E-3</v>
      </c>
      <c r="R893" s="19">
        <f t="shared" si="67"/>
        <v>1</v>
      </c>
      <c r="S893" s="6">
        <f t="shared" si="68"/>
        <v>1</v>
      </c>
      <c r="T893" s="5">
        <f t="shared" si="69"/>
        <v>1</v>
      </c>
    </row>
    <row r="894" spans="2:20" x14ac:dyDescent="0.25">
      <c r="B894" t="s">
        <v>901</v>
      </c>
      <c r="H894">
        <v>1</v>
      </c>
      <c r="N894">
        <v>1</v>
      </c>
      <c r="O894" s="1">
        <v>1</v>
      </c>
      <c r="P894" s="11">
        <f t="shared" si="65"/>
        <v>9.0909090909090912E-2</v>
      </c>
      <c r="Q894" s="11">
        <f t="shared" si="66"/>
        <v>3.0303030303030303E-3</v>
      </c>
      <c r="R894" s="19">
        <f t="shared" si="67"/>
        <v>1</v>
      </c>
      <c r="S894" s="6">
        <f t="shared" si="68"/>
        <v>1</v>
      </c>
      <c r="T894" s="5">
        <f t="shared" si="69"/>
        <v>1</v>
      </c>
    </row>
    <row r="895" spans="2:20" x14ac:dyDescent="0.25">
      <c r="B895" t="s">
        <v>402</v>
      </c>
      <c r="C895">
        <v>2</v>
      </c>
      <c r="D895">
        <v>1</v>
      </c>
      <c r="E895">
        <v>1</v>
      </c>
      <c r="F895">
        <v>2</v>
      </c>
      <c r="G895">
        <v>1</v>
      </c>
      <c r="H895">
        <v>1</v>
      </c>
      <c r="L895">
        <v>2</v>
      </c>
      <c r="M895">
        <v>1</v>
      </c>
      <c r="N895">
        <v>11</v>
      </c>
      <c r="O895" s="1">
        <v>11</v>
      </c>
      <c r="P895" s="11">
        <f t="shared" si="65"/>
        <v>1</v>
      </c>
      <c r="Q895" s="11">
        <f t="shared" si="66"/>
        <v>3.3333333333333333E-2</v>
      </c>
      <c r="R895" s="19">
        <f t="shared" si="67"/>
        <v>1</v>
      </c>
      <c r="S895" s="6">
        <f t="shared" si="68"/>
        <v>1</v>
      </c>
      <c r="T895" s="5">
        <f t="shared" si="69"/>
        <v>1</v>
      </c>
    </row>
    <row r="896" spans="2:20" x14ac:dyDescent="0.25">
      <c r="B896" t="s">
        <v>403</v>
      </c>
      <c r="C896">
        <v>2</v>
      </c>
      <c r="E896">
        <v>1</v>
      </c>
      <c r="N896">
        <v>3</v>
      </c>
      <c r="O896" s="1">
        <v>3</v>
      </c>
      <c r="P896" s="11">
        <f t="shared" si="65"/>
        <v>0.27272727272727271</v>
      </c>
      <c r="Q896" s="11">
        <f t="shared" si="66"/>
        <v>9.0909090909090905E-3</v>
      </c>
      <c r="R896" s="19">
        <f t="shared" si="67"/>
        <v>1</v>
      </c>
      <c r="S896" s="6">
        <f t="shared" si="68"/>
        <v>1</v>
      </c>
      <c r="T896" s="5">
        <f t="shared" si="69"/>
        <v>1</v>
      </c>
    </row>
    <row r="897" spans="2:20" x14ac:dyDescent="0.25">
      <c r="B897" t="s">
        <v>404</v>
      </c>
      <c r="C897">
        <v>2</v>
      </c>
      <c r="D897">
        <v>3</v>
      </c>
      <c r="E897">
        <v>3</v>
      </c>
      <c r="H897">
        <v>1</v>
      </c>
      <c r="I897">
        <v>3</v>
      </c>
      <c r="J897">
        <v>4</v>
      </c>
      <c r="K897">
        <v>2</v>
      </c>
      <c r="L897">
        <v>4</v>
      </c>
      <c r="M897">
        <v>2</v>
      </c>
      <c r="N897">
        <v>24</v>
      </c>
      <c r="O897" s="1">
        <v>24</v>
      </c>
      <c r="P897" s="11">
        <f t="shared" si="65"/>
        <v>2.1818181818181817</v>
      </c>
      <c r="Q897" s="11">
        <f t="shared" si="66"/>
        <v>7.2727272727272724E-2</v>
      </c>
      <c r="R897" s="19">
        <f t="shared" si="67"/>
        <v>3</v>
      </c>
      <c r="S897" s="6">
        <f t="shared" si="68"/>
        <v>1</v>
      </c>
      <c r="T897" s="5">
        <f t="shared" si="69"/>
        <v>1</v>
      </c>
    </row>
    <row r="898" spans="2:20" x14ac:dyDescent="0.25">
      <c r="B898" t="s">
        <v>405</v>
      </c>
      <c r="C898">
        <v>1</v>
      </c>
      <c r="D898">
        <v>1</v>
      </c>
      <c r="E898">
        <v>1</v>
      </c>
      <c r="F898">
        <v>1</v>
      </c>
      <c r="H898">
        <v>1</v>
      </c>
      <c r="J898">
        <v>2</v>
      </c>
      <c r="N898">
        <v>7</v>
      </c>
      <c r="O898" s="1">
        <v>7</v>
      </c>
      <c r="P898" s="11">
        <f t="shared" si="65"/>
        <v>0.63636363636363635</v>
      </c>
      <c r="Q898" s="11">
        <f t="shared" si="66"/>
        <v>2.1212121212121213E-2</v>
      </c>
      <c r="R898" s="19">
        <f t="shared" si="67"/>
        <v>1</v>
      </c>
      <c r="S898" s="6">
        <f t="shared" si="68"/>
        <v>1</v>
      </c>
      <c r="T898" s="5">
        <f t="shared" si="69"/>
        <v>1</v>
      </c>
    </row>
    <row r="899" spans="2:20" x14ac:dyDescent="0.25">
      <c r="B899" t="s">
        <v>406</v>
      </c>
      <c r="C899">
        <v>2</v>
      </c>
      <c r="F899">
        <v>2</v>
      </c>
      <c r="G899">
        <v>1</v>
      </c>
      <c r="I899">
        <v>1</v>
      </c>
      <c r="K899">
        <v>1</v>
      </c>
      <c r="N899">
        <v>7</v>
      </c>
      <c r="O899" s="1">
        <v>7</v>
      </c>
      <c r="P899" s="11">
        <f t="shared" si="65"/>
        <v>0.63636363636363635</v>
      </c>
      <c r="Q899" s="11">
        <f t="shared" si="66"/>
        <v>2.1212121212121213E-2</v>
      </c>
      <c r="R899" s="19">
        <f t="shared" si="67"/>
        <v>1</v>
      </c>
      <c r="S899" s="6">
        <f t="shared" si="68"/>
        <v>1</v>
      </c>
      <c r="T899" s="5">
        <f t="shared" si="69"/>
        <v>1</v>
      </c>
    </row>
    <row r="900" spans="2:20" x14ac:dyDescent="0.25">
      <c r="B900" t="s">
        <v>1026</v>
      </c>
      <c r="K900">
        <v>1</v>
      </c>
      <c r="N900">
        <v>1</v>
      </c>
      <c r="O900" s="1">
        <v>1</v>
      </c>
      <c r="P900" s="11">
        <f t="shared" si="65"/>
        <v>9.0909090909090912E-2</v>
      </c>
      <c r="Q900" s="11">
        <f t="shared" si="66"/>
        <v>3.0303030303030303E-3</v>
      </c>
      <c r="R900" s="19">
        <f t="shared" si="67"/>
        <v>1</v>
      </c>
      <c r="S900" s="6">
        <f t="shared" si="68"/>
        <v>1</v>
      </c>
      <c r="T900" s="5">
        <f t="shared" si="69"/>
        <v>1</v>
      </c>
    </row>
    <row r="901" spans="2:20" x14ac:dyDescent="0.25">
      <c r="B901" t="s">
        <v>719</v>
      </c>
      <c r="E901">
        <v>1</v>
      </c>
      <c r="N901">
        <v>1</v>
      </c>
      <c r="O901" s="1">
        <v>1</v>
      </c>
      <c r="P901" s="11">
        <f t="shared" si="65"/>
        <v>9.0909090909090912E-2</v>
      </c>
      <c r="Q901" s="11">
        <f t="shared" si="66"/>
        <v>3.0303030303030303E-3</v>
      </c>
      <c r="R901" s="19">
        <f t="shared" si="67"/>
        <v>1</v>
      </c>
      <c r="S901" s="6">
        <f t="shared" si="68"/>
        <v>1</v>
      </c>
      <c r="T901" s="5">
        <f t="shared" si="69"/>
        <v>1</v>
      </c>
    </row>
    <row r="902" spans="2:20" x14ac:dyDescent="0.25">
      <c r="B902" t="s">
        <v>720</v>
      </c>
      <c r="E902">
        <v>2</v>
      </c>
      <c r="F902">
        <v>2</v>
      </c>
      <c r="G902">
        <v>2</v>
      </c>
      <c r="H902">
        <v>3</v>
      </c>
      <c r="J902">
        <v>3</v>
      </c>
      <c r="K902">
        <v>4</v>
      </c>
      <c r="L902">
        <v>1</v>
      </c>
      <c r="M902">
        <v>1</v>
      </c>
      <c r="N902">
        <v>18</v>
      </c>
      <c r="O902" s="1">
        <v>18</v>
      </c>
      <c r="P902" s="11">
        <f t="shared" ref="P902:P965" si="70">O902/11</f>
        <v>1.6363636363636365</v>
      </c>
      <c r="Q902" s="11">
        <f t="shared" si="66"/>
        <v>5.454545454545455E-2</v>
      </c>
      <c r="R902" s="19">
        <f t="shared" si="67"/>
        <v>1</v>
      </c>
      <c r="S902" s="6">
        <f t="shared" si="68"/>
        <v>1</v>
      </c>
      <c r="T902" s="5">
        <f t="shared" si="69"/>
        <v>1</v>
      </c>
    </row>
    <row r="903" spans="2:20" x14ac:dyDescent="0.25">
      <c r="B903" t="s">
        <v>407</v>
      </c>
      <c r="C903">
        <v>8</v>
      </c>
      <c r="D903">
        <v>6</v>
      </c>
      <c r="E903">
        <v>4</v>
      </c>
      <c r="F903">
        <v>3</v>
      </c>
      <c r="G903">
        <v>6</v>
      </c>
      <c r="H903">
        <v>16</v>
      </c>
      <c r="I903">
        <v>17</v>
      </c>
      <c r="J903">
        <v>7</v>
      </c>
      <c r="K903">
        <v>12</v>
      </c>
      <c r="L903">
        <v>10</v>
      </c>
      <c r="M903">
        <v>19</v>
      </c>
      <c r="N903">
        <v>108</v>
      </c>
      <c r="O903" s="1">
        <v>108</v>
      </c>
      <c r="P903" s="11">
        <f t="shared" si="70"/>
        <v>9.8181818181818183</v>
      </c>
      <c r="Q903" s="11">
        <f t="shared" ref="Q903:Q966" si="71">P903/30</f>
        <v>0.32727272727272727</v>
      </c>
      <c r="R903" s="19">
        <f t="shared" ref="R903:R966" si="72">ODD(Q903*14)</f>
        <v>5</v>
      </c>
      <c r="S903" s="6">
        <f t="shared" ref="S903:S966" si="73">ODD(Q903*10.5)</f>
        <v>5</v>
      </c>
      <c r="T903" s="5">
        <f t="shared" ref="T903:T966" si="74">ODD(Q903*7)</f>
        <v>3</v>
      </c>
    </row>
    <row r="904" spans="2:20" x14ac:dyDescent="0.25">
      <c r="B904" t="s">
        <v>1027</v>
      </c>
      <c r="K904">
        <v>1</v>
      </c>
      <c r="N904">
        <v>1</v>
      </c>
      <c r="O904" s="1">
        <v>1</v>
      </c>
      <c r="P904" s="11">
        <f t="shared" si="70"/>
        <v>9.0909090909090912E-2</v>
      </c>
      <c r="Q904" s="11">
        <f t="shared" si="71"/>
        <v>3.0303030303030303E-3</v>
      </c>
      <c r="R904" s="19">
        <f t="shared" si="72"/>
        <v>1</v>
      </c>
      <c r="S904" s="6">
        <f t="shared" si="73"/>
        <v>1</v>
      </c>
      <c r="T904" s="5">
        <f t="shared" si="74"/>
        <v>1</v>
      </c>
    </row>
    <row r="905" spans="2:20" x14ac:dyDescent="0.25">
      <c r="B905" t="s">
        <v>799</v>
      </c>
      <c r="F905">
        <v>1</v>
      </c>
      <c r="H905">
        <v>2</v>
      </c>
      <c r="I905">
        <v>2</v>
      </c>
      <c r="J905">
        <v>1</v>
      </c>
      <c r="K905">
        <v>3</v>
      </c>
      <c r="N905">
        <v>9</v>
      </c>
      <c r="O905" s="1">
        <v>9</v>
      </c>
      <c r="P905" s="11">
        <f t="shared" si="70"/>
        <v>0.81818181818181823</v>
      </c>
      <c r="Q905" s="11">
        <f t="shared" si="71"/>
        <v>2.7272727272727275E-2</v>
      </c>
      <c r="R905" s="19">
        <f t="shared" si="72"/>
        <v>1</v>
      </c>
      <c r="S905" s="6">
        <f t="shared" si="73"/>
        <v>1</v>
      </c>
      <c r="T905" s="5">
        <f t="shared" si="74"/>
        <v>1</v>
      </c>
    </row>
    <row r="906" spans="2:20" x14ac:dyDescent="0.25">
      <c r="B906" t="s">
        <v>721</v>
      </c>
      <c r="E906">
        <v>3</v>
      </c>
      <c r="N906">
        <v>3</v>
      </c>
      <c r="O906" s="1">
        <v>3</v>
      </c>
      <c r="P906" s="11">
        <f t="shared" si="70"/>
        <v>0.27272727272727271</v>
      </c>
      <c r="Q906" s="11">
        <f t="shared" si="71"/>
        <v>9.0909090909090905E-3</v>
      </c>
      <c r="R906" s="19">
        <f t="shared" si="72"/>
        <v>1</v>
      </c>
      <c r="S906" s="6">
        <f t="shared" si="73"/>
        <v>1</v>
      </c>
      <c r="T906" s="5">
        <f t="shared" si="74"/>
        <v>1</v>
      </c>
    </row>
    <row r="907" spans="2:20" x14ac:dyDescent="0.25">
      <c r="B907" t="s">
        <v>845</v>
      </c>
      <c r="G907">
        <v>2</v>
      </c>
      <c r="N907">
        <v>2</v>
      </c>
      <c r="O907" s="1">
        <v>2</v>
      </c>
      <c r="P907" s="11">
        <f t="shared" si="70"/>
        <v>0.18181818181818182</v>
      </c>
      <c r="Q907" s="11">
        <f t="shared" si="71"/>
        <v>6.0606060606060606E-3</v>
      </c>
      <c r="R907" s="19">
        <f t="shared" si="72"/>
        <v>1</v>
      </c>
      <c r="S907" s="6">
        <f t="shared" si="73"/>
        <v>1</v>
      </c>
      <c r="T907" s="5">
        <f t="shared" si="74"/>
        <v>1</v>
      </c>
    </row>
    <row r="908" spans="2:20" x14ac:dyDescent="0.25">
      <c r="B908" t="s">
        <v>979</v>
      </c>
      <c r="J908">
        <v>0</v>
      </c>
      <c r="N908">
        <v>0</v>
      </c>
      <c r="O908" s="1">
        <v>0</v>
      </c>
      <c r="P908" s="11">
        <f t="shared" si="70"/>
        <v>0</v>
      </c>
      <c r="Q908" s="11">
        <f t="shared" si="71"/>
        <v>0</v>
      </c>
      <c r="R908" s="19">
        <f t="shared" si="72"/>
        <v>1</v>
      </c>
      <c r="S908" s="6">
        <f t="shared" si="73"/>
        <v>1</v>
      </c>
      <c r="T908" s="7">
        <f t="shared" si="74"/>
        <v>1</v>
      </c>
    </row>
    <row r="909" spans="2:20" x14ac:dyDescent="0.25">
      <c r="B909" t="s">
        <v>722</v>
      </c>
      <c r="E909">
        <v>1</v>
      </c>
      <c r="N909">
        <v>1</v>
      </c>
      <c r="O909" s="1">
        <v>1</v>
      </c>
      <c r="P909" s="11">
        <f t="shared" si="70"/>
        <v>9.0909090909090912E-2</v>
      </c>
      <c r="Q909" s="11">
        <f t="shared" si="71"/>
        <v>3.0303030303030303E-3</v>
      </c>
      <c r="R909" s="19">
        <f t="shared" si="72"/>
        <v>1</v>
      </c>
      <c r="S909" s="6">
        <f t="shared" si="73"/>
        <v>1</v>
      </c>
      <c r="T909" s="5">
        <f t="shared" si="74"/>
        <v>1</v>
      </c>
    </row>
    <row r="910" spans="2:20" x14ac:dyDescent="0.25">
      <c r="B910" t="s">
        <v>408</v>
      </c>
      <c r="C910">
        <v>1</v>
      </c>
      <c r="E910">
        <v>1</v>
      </c>
      <c r="H910">
        <v>2</v>
      </c>
      <c r="N910">
        <v>4</v>
      </c>
      <c r="O910" s="1">
        <v>4</v>
      </c>
      <c r="P910" s="11">
        <f t="shared" si="70"/>
        <v>0.36363636363636365</v>
      </c>
      <c r="Q910" s="11">
        <f t="shared" si="71"/>
        <v>1.2121212121212121E-2</v>
      </c>
      <c r="R910" s="19">
        <f t="shared" si="72"/>
        <v>1</v>
      </c>
      <c r="S910" s="6">
        <f t="shared" si="73"/>
        <v>1</v>
      </c>
      <c r="T910" s="5">
        <f t="shared" si="74"/>
        <v>1</v>
      </c>
    </row>
    <row r="911" spans="2:20" x14ac:dyDescent="0.25">
      <c r="B911" t="s">
        <v>409</v>
      </c>
      <c r="C911">
        <v>1</v>
      </c>
      <c r="D911">
        <v>4</v>
      </c>
      <c r="E911">
        <v>1</v>
      </c>
      <c r="F911">
        <v>1</v>
      </c>
      <c r="G911">
        <v>4</v>
      </c>
      <c r="H911">
        <v>2</v>
      </c>
      <c r="I911">
        <v>1</v>
      </c>
      <c r="J911">
        <v>2</v>
      </c>
      <c r="K911">
        <v>2</v>
      </c>
      <c r="L911">
        <v>1</v>
      </c>
      <c r="N911">
        <v>19</v>
      </c>
      <c r="O911" s="1">
        <v>19</v>
      </c>
      <c r="P911" s="11">
        <f t="shared" si="70"/>
        <v>1.7272727272727273</v>
      </c>
      <c r="Q911" s="11">
        <f t="shared" si="71"/>
        <v>5.7575757575757579E-2</v>
      </c>
      <c r="R911" s="19">
        <f t="shared" si="72"/>
        <v>1</v>
      </c>
      <c r="S911" s="6">
        <f t="shared" si="73"/>
        <v>1</v>
      </c>
      <c r="T911" s="5">
        <f t="shared" si="74"/>
        <v>1</v>
      </c>
    </row>
    <row r="912" spans="2:20" x14ac:dyDescent="0.25">
      <c r="B912" t="s">
        <v>902</v>
      </c>
      <c r="H912">
        <v>1</v>
      </c>
      <c r="J912">
        <v>1</v>
      </c>
      <c r="N912">
        <v>2</v>
      </c>
      <c r="O912" s="1">
        <v>2</v>
      </c>
      <c r="P912" s="11">
        <f t="shared" si="70"/>
        <v>0.18181818181818182</v>
      </c>
      <c r="Q912" s="11">
        <f t="shared" si="71"/>
        <v>6.0606060606060606E-3</v>
      </c>
      <c r="R912" s="19">
        <f t="shared" si="72"/>
        <v>1</v>
      </c>
      <c r="S912" s="6">
        <f t="shared" si="73"/>
        <v>1</v>
      </c>
      <c r="T912" s="5">
        <f t="shared" si="74"/>
        <v>1</v>
      </c>
    </row>
    <row r="913" spans="2:20" x14ac:dyDescent="0.25">
      <c r="B913" t="s">
        <v>846</v>
      </c>
      <c r="G913">
        <v>1</v>
      </c>
      <c r="M913">
        <v>5</v>
      </c>
      <c r="N913">
        <v>6</v>
      </c>
      <c r="O913" s="1">
        <v>6</v>
      </c>
      <c r="P913" s="11">
        <f t="shared" si="70"/>
        <v>0.54545454545454541</v>
      </c>
      <c r="Q913" s="11">
        <f t="shared" si="71"/>
        <v>1.8181818181818181E-2</v>
      </c>
      <c r="R913" s="19">
        <f t="shared" si="72"/>
        <v>1</v>
      </c>
      <c r="S913" s="6">
        <f t="shared" si="73"/>
        <v>1</v>
      </c>
      <c r="T913" s="5">
        <f t="shared" si="74"/>
        <v>1</v>
      </c>
    </row>
    <row r="914" spans="2:20" x14ac:dyDescent="0.25">
      <c r="B914" t="s">
        <v>1072</v>
      </c>
      <c r="L914">
        <v>2</v>
      </c>
      <c r="N914">
        <v>2</v>
      </c>
      <c r="O914" s="1">
        <v>2</v>
      </c>
      <c r="P914" s="11">
        <f t="shared" si="70"/>
        <v>0.18181818181818182</v>
      </c>
      <c r="Q914" s="11">
        <f t="shared" si="71"/>
        <v>6.0606060606060606E-3</v>
      </c>
      <c r="R914" s="19">
        <f t="shared" si="72"/>
        <v>1</v>
      </c>
      <c r="S914" s="6">
        <f t="shared" si="73"/>
        <v>1</v>
      </c>
      <c r="T914" s="5">
        <f t="shared" si="74"/>
        <v>1</v>
      </c>
    </row>
    <row r="915" spans="2:20" x14ac:dyDescent="0.25">
      <c r="B915" t="s">
        <v>980</v>
      </c>
      <c r="J915">
        <v>1</v>
      </c>
      <c r="K915">
        <v>4</v>
      </c>
      <c r="M915">
        <v>2</v>
      </c>
      <c r="N915">
        <v>7</v>
      </c>
      <c r="O915" s="1">
        <v>7</v>
      </c>
      <c r="P915" s="11">
        <f t="shared" si="70"/>
        <v>0.63636363636363635</v>
      </c>
      <c r="Q915" s="11">
        <f t="shared" si="71"/>
        <v>2.1212121212121213E-2</v>
      </c>
      <c r="R915" s="19">
        <f t="shared" si="72"/>
        <v>1</v>
      </c>
      <c r="S915" s="6">
        <f t="shared" si="73"/>
        <v>1</v>
      </c>
      <c r="T915" s="5">
        <f t="shared" si="74"/>
        <v>1</v>
      </c>
    </row>
    <row r="916" spans="2:20" x14ac:dyDescent="0.25">
      <c r="B916" t="s">
        <v>800</v>
      </c>
      <c r="F916">
        <v>1</v>
      </c>
      <c r="I916">
        <v>1</v>
      </c>
      <c r="N916">
        <v>2</v>
      </c>
      <c r="O916" s="1">
        <v>2</v>
      </c>
      <c r="P916" s="11">
        <f t="shared" si="70"/>
        <v>0.18181818181818182</v>
      </c>
      <c r="Q916" s="11">
        <f t="shared" si="71"/>
        <v>6.0606060606060606E-3</v>
      </c>
      <c r="R916" s="19">
        <f t="shared" si="72"/>
        <v>1</v>
      </c>
      <c r="S916" s="6">
        <f t="shared" si="73"/>
        <v>1</v>
      </c>
      <c r="T916" s="5">
        <f t="shared" si="74"/>
        <v>1</v>
      </c>
    </row>
    <row r="917" spans="2:20" x14ac:dyDescent="0.25">
      <c r="B917" t="s">
        <v>723</v>
      </c>
      <c r="E917">
        <v>2</v>
      </c>
      <c r="N917">
        <v>2</v>
      </c>
      <c r="O917" s="1">
        <v>2</v>
      </c>
      <c r="P917" s="11">
        <f t="shared" si="70"/>
        <v>0.18181818181818182</v>
      </c>
      <c r="Q917" s="11">
        <f t="shared" si="71"/>
        <v>6.0606060606060606E-3</v>
      </c>
      <c r="R917" s="19">
        <f t="shared" si="72"/>
        <v>1</v>
      </c>
      <c r="S917" s="6">
        <f t="shared" si="73"/>
        <v>1</v>
      </c>
      <c r="T917" s="5">
        <f t="shared" si="74"/>
        <v>1</v>
      </c>
    </row>
    <row r="918" spans="2:20" x14ac:dyDescent="0.25">
      <c r="B918" t="s">
        <v>410</v>
      </c>
      <c r="C918">
        <v>1</v>
      </c>
      <c r="F918">
        <v>1</v>
      </c>
      <c r="N918">
        <v>2</v>
      </c>
      <c r="O918" s="1">
        <v>2</v>
      </c>
      <c r="P918" s="11">
        <f t="shared" si="70"/>
        <v>0.18181818181818182</v>
      </c>
      <c r="Q918" s="11">
        <f t="shared" si="71"/>
        <v>6.0606060606060606E-3</v>
      </c>
      <c r="R918" s="19">
        <f t="shared" si="72"/>
        <v>1</v>
      </c>
      <c r="S918" s="6">
        <f t="shared" si="73"/>
        <v>1</v>
      </c>
      <c r="T918" s="5">
        <f t="shared" si="74"/>
        <v>1</v>
      </c>
    </row>
    <row r="919" spans="2:20" x14ac:dyDescent="0.25">
      <c r="B919" t="s">
        <v>411</v>
      </c>
      <c r="C919">
        <v>9</v>
      </c>
      <c r="D919">
        <v>9</v>
      </c>
      <c r="E919">
        <v>14</v>
      </c>
      <c r="F919">
        <v>7</v>
      </c>
      <c r="G919">
        <v>3</v>
      </c>
      <c r="H919">
        <v>19</v>
      </c>
      <c r="I919">
        <v>7</v>
      </c>
      <c r="J919">
        <v>6</v>
      </c>
      <c r="K919">
        <v>11</v>
      </c>
      <c r="L919">
        <v>7</v>
      </c>
      <c r="M919">
        <v>11</v>
      </c>
      <c r="N919">
        <v>103</v>
      </c>
      <c r="O919" s="1">
        <v>103</v>
      </c>
      <c r="P919" s="11">
        <f t="shared" si="70"/>
        <v>9.3636363636363633</v>
      </c>
      <c r="Q919" s="11">
        <f t="shared" si="71"/>
        <v>0.31212121212121213</v>
      </c>
      <c r="R919" s="19">
        <f t="shared" si="72"/>
        <v>5</v>
      </c>
      <c r="S919" s="6">
        <f t="shared" si="73"/>
        <v>5</v>
      </c>
      <c r="T919" s="5">
        <f t="shared" si="74"/>
        <v>3</v>
      </c>
    </row>
    <row r="920" spans="2:20" x14ac:dyDescent="0.25">
      <c r="B920" t="s">
        <v>801</v>
      </c>
      <c r="F920">
        <v>1</v>
      </c>
      <c r="I920">
        <v>3</v>
      </c>
      <c r="K920">
        <v>1</v>
      </c>
      <c r="N920">
        <v>5</v>
      </c>
      <c r="O920" s="1">
        <v>5</v>
      </c>
      <c r="P920" s="11">
        <f t="shared" si="70"/>
        <v>0.45454545454545453</v>
      </c>
      <c r="Q920" s="11">
        <f t="shared" si="71"/>
        <v>1.515151515151515E-2</v>
      </c>
      <c r="R920" s="19">
        <f t="shared" si="72"/>
        <v>1</v>
      </c>
      <c r="S920" s="6">
        <f t="shared" si="73"/>
        <v>1</v>
      </c>
      <c r="T920" s="5">
        <f t="shared" si="74"/>
        <v>1</v>
      </c>
    </row>
    <row r="921" spans="2:20" x14ac:dyDescent="0.25">
      <c r="B921" t="s">
        <v>724</v>
      </c>
      <c r="E921">
        <v>1</v>
      </c>
      <c r="N921">
        <v>1</v>
      </c>
      <c r="O921" s="1">
        <v>1</v>
      </c>
      <c r="P921" s="11">
        <f t="shared" si="70"/>
        <v>9.0909090909090912E-2</v>
      </c>
      <c r="Q921" s="11">
        <f t="shared" si="71"/>
        <v>3.0303030303030303E-3</v>
      </c>
      <c r="R921" s="19">
        <f t="shared" si="72"/>
        <v>1</v>
      </c>
      <c r="S921" s="6">
        <f t="shared" si="73"/>
        <v>1</v>
      </c>
      <c r="T921" s="5">
        <f t="shared" si="74"/>
        <v>1</v>
      </c>
    </row>
    <row r="922" spans="2:20" x14ac:dyDescent="0.25">
      <c r="B922" t="s">
        <v>622</v>
      </c>
      <c r="D922">
        <v>1</v>
      </c>
      <c r="F922">
        <v>1</v>
      </c>
      <c r="J922">
        <v>1</v>
      </c>
      <c r="N922">
        <v>3</v>
      </c>
      <c r="O922" s="1">
        <v>3</v>
      </c>
      <c r="P922" s="11">
        <f t="shared" si="70"/>
        <v>0.27272727272727271</v>
      </c>
      <c r="Q922" s="11">
        <f t="shared" si="71"/>
        <v>9.0909090909090905E-3</v>
      </c>
      <c r="R922" s="19">
        <f t="shared" si="72"/>
        <v>1</v>
      </c>
      <c r="S922" s="6">
        <f t="shared" si="73"/>
        <v>1</v>
      </c>
      <c r="T922" s="5">
        <f t="shared" si="74"/>
        <v>1</v>
      </c>
    </row>
    <row r="923" spans="2:20" x14ac:dyDescent="0.25">
      <c r="B923" t="s">
        <v>412</v>
      </c>
      <c r="C923">
        <v>1</v>
      </c>
      <c r="L923">
        <v>1</v>
      </c>
      <c r="N923">
        <v>2</v>
      </c>
      <c r="O923" s="1">
        <v>2</v>
      </c>
      <c r="P923" s="11">
        <f t="shared" si="70"/>
        <v>0.18181818181818182</v>
      </c>
      <c r="Q923" s="11">
        <f t="shared" si="71"/>
        <v>6.0606060606060606E-3</v>
      </c>
      <c r="R923" s="19">
        <f t="shared" si="72"/>
        <v>1</v>
      </c>
      <c r="S923" s="6">
        <f t="shared" si="73"/>
        <v>1</v>
      </c>
      <c r="T923" s="5">
        <f t="shared" si="74"/>
        <v>1</v>
      </c>
    </row>
    <row r="924" spans="2:20" x14ac:dyDescent="0.25">
      <c r="B924" t="s">
        <v>413</v>
      </c>
      <c r="C924">
        <v>1</v>
      </c>
      <c r="N924">
        <v>1</v>
      </c>
      <c r="O924" s="1">
        <v>1</v>
      </c>
      <c r="P924" s="11">
        <f t="shared" si="70"/>
        <v>9.0909090909090912E-2</v>
      </c>
      <c r="Q924" s="11">
        <f t="shared" si="71"/>
        <v>3.0303030303030303E-3</v>
      </c>
      <c r="R924" s="19">
        <f t="shared" si="72"/>
        <v>1</v>
      </c>
      <c r="S924" s="6">
        <f t="shared" si="73"/>
        <v>1</v>
      </c>
      <c r="T924" s="5">
        <f t="shared" si="74"/>
        <v>1</v>
      </c>
    </row>
    <row r="925" spans="2:20" x14ac:dyDescent="0.25">
      <c r="B925" t="s">
        <v>414</v>
      </c>
      <c r="C925">
        <v>2</v>
      </c>
      <c r="D925">
        <v>2</v>
      </c>
      <c r="E925">
        <v>5</v>
      </c>
      <c r="F925">
        <v>2</v>
      </c>
      <c r="G925">
        <v>5</v>
      </c>
      <c r="H925">
        <v>3</v>
      </c>
      <c r="I925">
        <v>2</v>
      </c>
      <c r="J925">
        <v>3</v>
      </c>
      <c r="K925">
        <v>2</v>
      </c>
      <c r="M925">
        <v>1</v>
      </c>
      <c r="N925">
        <v>27</v>
      </c>
      <c r="O925" s="1">
        <v>27</v>
      </c>
      <c r="P925" s="11">
        <f t="shared" si="70"/>
        <v>2.4545454545454546</v>
      </c>
      <c r="Q925" s="11">
        <f t="shared" si="71"/>
        <v>8.1818181818181818E-2</v>
      </c>
      <c r="R925" s="19">
        <f t="shared" si="72"/>
        <v>3</v>
      </c>
      <c r="S925" s="6">
        <f t="shared" si="73"/>
        <v>1</v>
      </c>
      <c r="T925" s="5">
        <f t="shared" si="74"/>
        <v>1</v>
      </c>
    </row>
    <row r="926" spans="2:20" x14ac:dyDescent="0.25">
      <c r="B926" t="s">
        <v>415</v>
      </c>
      <c r="C926">
        <v>2025</v>
      </c>
      <c r="D926">
        <v>1395</v>
      </c>
      <c r="E926">
        <v>1345</v>
      </c>
      <c r="F926">
        <v>965</v>
      </c>
      <c r="G926">
        <v>1425</v>
      </c>
      <c r="H926">
        <v>1845</v>
      </c>
      <c r="I926">
        <v>2070</v>
      </c>
      <c r="J926">
        <v>1650</v>
      </c>
      <c r="K926">
        <v>1330</v>
      </c>
      <c r="L926">
        <v>2090</v>
      </c>
      <c r="M926">
        <v>1760</v>
      </c>
      <c r="N926">
        <v>17900</v>
      </c>
      <c r="O926" s="1">
        <v>17900</v>
      </c>
      <c r="P926" s="11">
        <f t="shared" si="70"/>
        <v>1627.2727272727273</v>
      </c>
      <c r="Q926" s="11">
        <f t="shared" si="71"/>
        <v>54.242424242424242</v>
      </c>
      <c r="R926" s="19">
        <f t="shared" si="72"/>
        <v>761</v>
      </c>
      <c r="S926" s="6">
        <f t="shared" si="73"/>
        <v>571</v>
      </c>
      <c r="T926" s="5">
        <f t="shared" si="74"/>
        <v>381</v>
      </c>
    </row>
    <row r="927" spans="2:20" x14ac:dyDescent="0.25">
      <c r="B927" t="s">
        <v>947</v>
      </c>
      <c r="I927">
        <v>2</v>
      </c>
      <c r="J927">
        <v>1</v>
      </c>
      <c r="M927">
        <v>1</v>
      </c>
      <c r="N927">
        <v>4</v>
      </c>
      <c r="O927" s="1">
        <v>4</v>
      </c>
      <c r="P927" s="11">
        <f t="shared" si="70"/>
        <v>0.36363636363636365</v>
      </c>
      <c r="Q927" s="11">
        <f t="shared" si="71"/>
        <v>1.2121212121212121E-2</v>
      </c>
      <c r="R927" s="19">
        <f t="shared" si="72"/>
        <v>1</v>
      </c>
      <c r="S927" s="6">
        <f t="shared" si="73"/>
        <v>1</v>
      </c>
      <c r="T927" s="5">
        <f t="shared" si="74"/>
        <v>1</v>
      </c>
    </row>
    <row r="928" spans="2:20" x14ac:dyDescent="0.25">
      <c r="B928" t="s">
        <v>416</v>
      </c>
      <c r="C928">
        <v>2</v>
      </c>
      <c r="E928">
        <v>2</v>
      </c>
      <c r="F928">
        <v>5</v>
      </c>
      <c r="I928">
        <v>2</v>
      </c>
      <c r="L928">
        <v>1</v>
      </c>
      <c r="M928">
        <v>1</v>
      </c>
      <c r="N928">
        <v>13</v>
      </c>
      <c r="O928" s="1">
        <v>13</v>
      </c>
      <c r="P928" s="11">
        <f t="shared" si="70"/>
        <v>1.1818181818181819</v>
      </c>
      <c r="Q928" s="11">
        <f t="shared" si="71"/>
        <v>3.9393939393939398E-2</v>
      </c>
      <c r="R928" s="19">
        <f t="shared" si="72"/>
        <v>1</v>
      </c>
      <c r="S928" s="6">
        <f t="shared" si="73"/>
        <v>1</v>
      </c>
      <c r="T928" s="5">
        <f t="shared" si="74"/>
        <v>1</v>
      </c>
    </row>
    <row r="929" spans="2:20" x14ac:dyDescent="0.25">
      <c r="B929" t="s">
        <v>417</v>
      </c>
      <c r="C929">
        <v>2</v>
      </c>
      <c r="D929">
        <v>2</v>
      </c>
      <c r="E929">
        <v>2</v>
      </c>
      <c r="N929">
        <v>6</v>
      </c>
      <c r="O929" s="1">
        <v>6</v>
      </c>
      <c r="P929" s="11">
        <f t="shared" si="70"/>
        <v>0.54545454545454541</v>
      </c>
      <c r="Q929" s="11">
        <f t="shared" si="71"/>
        <v>1.8181818181818181E-2</v>
      </c>
      <c r="R929" s="19">
        <f t="shared" si="72"/>
        <v>1</v>
      </c>
      <c r="S929" s="6">
        <f t="shared" si="73"/>
        <v>1</v>
      </c>
      <c r="T929" s="5">
        <f t="shared" si="74"/>
        <v>1</v>
      </c>
    </row>
    <row r="930" spans="2:20" x14ac:dyDescent="0.25">
      <c r="B930" t="s">
        <v>981</v>
      </c>
      <c r="J930">
        <v>1</v>
      </c>
      <c r="N930">
        <v>1</v>
      </c>
      <c r="O930" s="1">
        <v>1</v>
      </c>
      <c r="P930" s="11">
        <f t="shared" si="70"/>
        <v>9.0909090909090912E-2</v>
      </c>
      <c r="Q930" s="11">
        <f t="shared" si="71"/>
        <v>3.0303030303030303E-3</v>
      </c>
      <c r="R930" s="19">
        <f t="shared" si="72"/>
        <v>1</v>
      </c>
      <c r="S930" s="6">
        <f t="shared" si="73"/>
        <v>1</v>
      </c>
      <c r="T930" s="5">
        <f t="shared" si="74"/>
        <v>1</v>
      </c>
    </row>
    <row r="931" spans="2:20" x14ac:dyDescent="0.25">
      <c r="B931" t="s">
        <v>418</v>
      </c>
      <c r="C931">
        <v>1</v>
      </c>
      <c r="D931">
        <v>3</v>
      </c>
      <c r="E931">
        <v>1</v>
      </c>
      <c r="F931">
        <v>1</v>
      </c>
      <c r="G931">
        <v>0</v>
      </c>
      <c r="H931">
        <v>1</v>
      </c>
      <c r="I931">
        <v>1</v>
      </c>
      <c r="M931">
        <v>1</v>
      </c>
      <c r="N931">
        <v>9</v>
      </c>
      <c r="O931" s="1">
        <v>9</v>
      </c>
      <c r="P931" s="11">
        <f t="shared" si="70"/>
        <v>0.81818181818181823</v>
      </c>
      <c r="Q931" s="11">
        <f t="shared" si="71"/>
        <v>2.7272727272727275E-2</v>
      </c>
      <c r="R931" s="19">
        <f t="shared" si="72"/>
        <v>1</v>
      </c>
      <c r="S931" s="6">
        <f t="shared" si="73"/>
        <v>1</v>
      </c>
      <c r="T931" s="5">
        <f t="shared" si="74"/>
        <v>1</v>
      </c>
    </row>
    <row r="932" spans="2:20" x14ac:dyDescent="0.25">
      <c r="B932" t="s">
        <v>725</v>
      </c>
      <c r="E932">
        <v>1</v>
      </c>
      <c r="N932">
        <v>1</v>
      </c>
      <c r="O932" s="1">
        <v>1</v>
      </c>
      <c r="P932" s="11">
        <f t="shared" si="70"/>
        <v>9.0909090909090912E-2</v>
      </c>
      <c r="Q932" s="11">
        <f t="shared" si="71"/>
        <v>3.0303030303030303E-3</v>
      </c>
      <c r="R932" s="19">
        <f t="shared" si="72"/>
        <v>1</v>
      </c>
      <c r="S932" s="6">
        <f t="shared" si="73"/>
        <v>1</v>
      </c>
      <c r="T932" s="5">
        <f t="shared" si="74"/>
        <v>1</v>
      </c>
    </row>
    <row r="933" spans="2:20" x14ac:dyDescent="0.25">
      <c r="B933" t="s">
        <v>419</v>
      </c>
      <c r="C933">
        <v>1</v>
      </c>
      <c r="H933">
        <v>1</v>
      </c>
      <c r="N933">
        <v>2</v>
      </c>
      <c r="O933" s="1">
        <v>2</v>
      </c>
      <c r="P933" s="11">
        <f t="shared" si="70"/>
        <v>0.18181818181818182</v>
      </c>
      <c r="Q933" s="11">
        <f t="shared" si="71"/>
        <v>6.0606060606060606E-3</v>
      </c>
      <c r="R933" s="19">
        <f t="shared" si="72"/>
        <v>1</v>
      </c>
      <c r="S933" s="6">
        <f t="shared" si="73"/>
        <v>1</v>
      </c>
      <c r="T933" s="5">
        <f t="shared" si="74"/>
        <v>1</v>
      </c>
    </row>
    <row r="934" spans="2:20" x14ac:dyDescent="0.25">
      <c r="B934" t="s">
        <v>1073</v>
      </c>
      <c r="L934">
        <v>1</v>
      </c>
      <c r="N934">
        <v>1</v>
      </c>
      <c r="O934" s="1">
        <v>1</v>
      </c>
      <c r="P934" s="11">
        <f t="shared" si="70"/>
        <v>9.0909090909090912E-2</v>
      </c>
      <c r="Q934" s="11">
        <f t="shared" si="71"/>
        <v>3.0303030303030303E-3</v>
      </c>
      <c r="R934" s="19">
        <f t="shared" si="72"/>
        <v>1</v>
      </c>
      <c r="S934" s="6">
        <f t="shared" si="73"/>
        <v>1</v>
      </c>
      <c r="T934" s="5">
        <f t="shared" si="74"/>
        <v>1</v>
      </c>
    </row>
    <row r="935" spans="2:20" x14ac:dyDescent="0.25">
      <c r="B935" t="s">
        <v>420</v>
      </c>
      <c r="C935">
        <v>1</v>
      </c>
      <c r="D935">
        <v>3</v>
      </c>
      <c r="E935">
        <v>2</v>
      </c>
      <c r="F935">
        <v>1</v>
      </c>
      <c r="G935">
        <v>3</v>
      </c>
      <c r="H935">
        <v>4</v>
      </c>
      <c r="I935">
        <v>2</v>
      </c>
      <c r="J935">
        <v>4</v>
      </c>
      <c r="K935">
        <v>4</v>
      </c>
      <c r="L935">
        <v>2</v>
      </c>
      <c r="M935">
        <v>4</v>
      </c>
      <c r="N935">
        <v>30</v>
      </c>
      <c r="O935" s="1">
        <v>30</v>
      </c>
      <c r="P935" s="11">
        <f t="shared" si="70"/>
        <v>2.7272727272727271</v>
      </c>
      <c r="Q935" s="11">
        <f t="shared" si="71"/>
        <v>9.0909090909090898E-2</v>
      </c>
      <c r="R935" s="19">
        <f t="shared" si="72"/>
        <v>3</v>
      </c>
      <c r="S935" s="6">
        <f t="shared" si="73"/>
        <v>1</v>
      </c>
      <c r="T935" s="5">
        <f t="shared" si="74"/>
        <v>1</v>
      </c>
    </row>
    <row r="936" spans="2:20" x14ac:dyDescent="0.25">
      <c r="B936" t="s">
        <v>847</v>
      </c>
      <c r="G936">
        <v>1</v>
      </c>
      <c r="I936">
        <v>1</v>
      </c>
      <c r="N936">
        <v>2</v>
      </c>
      <c r="O936" s="1">
        <v>2</v>
      </c>
      <c r="P936" s="11">
        <f t="shared" si="70"/>
        <v>0.18181818181818182</v>
      </c>
      <c r="Q936" s="11">
        <f t="shared" si="71"/>
        <v>6.0606060606060606E-3</v>
      </c>
      <c r="R936" s="19">
        <f t="shared" si="72"/>
        <v>1</v>
      </c>
      <c r="S936" s="6">
        <f t="shared" si="73"/>
        <v>1</v>
      </c>
      <c r="T936" s="5">
        <f t="shared" si="74"/>
        <v>1</v>
      </c>
    </row>
    <row r="937" spans="2:20" x14ac:dyDescent="0.25">
      <c r="B937" t="s">
        <v>726</v>
      </c>
      <c r="E937">
        <v>1</v>
      </c>
      <c r="N937">
        <v>1</v>
      </c>
      <c r="O937" s="1">
        <v>1</v>
      </c>
      <c r="P937" s="11">
        <f t="shared" si="70"/>
        <v>9.0909090909090912E-2</v>
      </c>
      <c r="Q937" s="11">
        <f t="shared" si="71"/>
        <v>3.0303030303030303E-3</v>
      </c>
      <c r="R937" s="19">
        <f t="shared" si="72"/>
        <v>1</v>
      </c>
      <c r="S937" s="6">
        <f t="shared" si="73"/>
        <v>1</v>
      </c>
      <c r="T937" s="5">
        <f t="shared" si="74"/>
        <v>1</v>
      </c>
    </row>
    <row r="938" spans="2:20" x14ac:dyDescent="0.25">
      <c r="B938" t="s">
        <v>421</v>
      </c>
      <c r="C938">
        <v>1</v>
      </c>
      <c r="N938">
        <v>1</v>
      </c>
      <c r="O938" s="1">
        <v>1</v>
      </c>
      <c r="P938" s="11">
        <f t="shared" si="70"/>
        <v>9.0909090909090912E-2</v>
      </c>
      <c r="Q938" s="11">
        <f t="shared" si="71"/>
        <v>3.0303030303030303E-3</v>
      </c>
      <c r="R938" s="19">
        <f t="shared" si="72"/>
        <v>1</v>
      </c>
      <c r="S938" s="6">
        <f t="shared" si="73"/>
        <v>1</v>
      </c>
      <c r="T938" s="5">
        <f t="shared" si="74"/>
        <v>1</v>
      </c>
    </row>
    <row r="939" spans="2:20" x14ac:dyDescent="0.25">
      <c r="B939" t="s">
        <v>422</v>
      </c>
      <c r="C939">
        <v>44</v>
      </c>
      <c r="D939">
        <v>32</v>
      </c>
      <c r="E939">
        <v>15</v>
      </c>
      <c r="F939">
        <v>16</v>
      </c>
      <c r="G939">
        <v>30</v>
      </c>
      <c r="H939">
        <v>38</v>
      </c>
      <c r="I939">
        <v>11</v>
      </c>
      <c r="J939">
        <v>22</v>
      </c>
      <c r="K939">
        <v>30</v>
      </c>
      <c r="L939">
        <v>60</v>
      </c>
      <c r="M939">
        <v>31</v>
      </c>
      <c r="N939">
        <v>329</v>
      </c>
      <c r="O939" s="1">
        <v>329</v>
      </c>
      <c r="P939" s="11">
        <f t="shared" si="70"/>
        <v>29.90909090909091</v>
      </c>
      <c r="Q939" s="11">
        <f t="shared" si="71"/>
        <v>0.99696969696969695</v>
      </c>
      <c r="R939" s="19">
        <f t="shared" si="72"/>
        <v>15</v>
      </c>
      <c r="S939" s="6">
        <f t="shared" si="73"/>
        <v>11</v>
      </c>
      <c r="T939" s="5">
        <f t="shared" si="74"/>
        <v>7</v>
      </c>
    </row>
    <row r="940" spans="2:20" x14ac:dyDescent="0.25">
      <c r="B940" t="s">
        <v>423</v>
      </c>
      <c r="C940">
        <v>3</v>
      </c>
      <c r="F940">
        <v>6</v>
      </c>
      <c r="N940">
        <v>9</v>
      </c>
      <c r="O940" s="1">
        <v>9</v>
      </c>
      <c r="P940" s="11">
        <f t="shared" si="70"/>
        <v>0.81818181818181823</v>
      </c>
      <c r="Q940" s="11">
        <f t="shared" si="71"/>
        <v>2.7272727272727275E-2</v>
      </c>
      <c r="R940" s="19">
        <f t="shared" si="72"/>
        <v>1</v>
      </c>
      <c r="S940" s="6">
        <f t="shared" si="73"/>
        <v>1</v>
      </c>
      <c r="T940" s="5">
        <f t="shared" si="74"/>
        <v>1</v>
      </c>
    </row>
    <row r="941" spans="2:20" x14ac:dyDescent="0.25">
      <c r="B941" t="s">
        <v>802</v>
      </c>
      <c r="F941">
        <v>3</v>
      </c>
      <c r="N941">
        <v>3</v>
      </c>
      <c r="O941" s="1">
        <v>3</v>
      </c>
      <c r="P941" s="11">
        <f t="shared" si="70"/>
        <v>0.27272727272727271</v>
      </c>
      <c r="Q941" s="11">
        <f t="shared" si="71"/>
        <v>9.0909090909090905E-3</v>
      </c>
      <c r="R941" s="19">
        <f t="shared" si="72"/>
        <v>1</v>
      </c>
      <c r="S941" s="6">
        <f t="shared" si="73"/>
        <v>1</v>
      </c>
      <c r="T941" s="5">
        <f t="shared" si="74"/>
        <v>1</v>
      </c>
    </row>
    <row r="942" spans="2:20" x14ac:dyDescent="0.25">
      <c r="B942" t="s">
        <v>803</v>
      </c>
      <c r="F942">
        <v>1</v>
      </c>
      <c r="N942">
        <v>1</v>
      </c>
      <c r="O942" s="1">
        <v>1</v>
      </c>
      <c r="P942" s="11">
        <f t="shared" si="70"/>
        <v>9.0909090909090912E-2</v>
      </c>
      <c r="Q942" s="11">
        <f t="shared" si="71"/>
        <v>3.0303030303030303E-3</v>
      </c>
      <c r="R942" s="19">
        <f t="shared" si="72"/>
        <v>1</v>
      </c>
      <c r="S942" s="6">
        <f t="shared" si="73"/>
        <v>1</v>
      </c>
      <c r="T942" s="5">
        <f t="shared" si="74"/>
        <v>1</v>
      </c>
    </row>
    <row r="943" spans="2:20" x14ac:dyDescent="0.25">
      <c r="B943" t="s">
        <v>804</v>
      </c>
      <c r="F943">
        <v>2</v>
      </c>
      <c r="N943">
        <v>2</v>
      </c>
      <c r="O943" s="1">
        <v>2</v>
      </c>
      <c r="P943" s="11">
        <f t="shared" si="70"/>
        <v>0.18181818181818182</v>
      </c>
      <c r="Q943" s="11">
        <f t="shared" si="71"/>
        <v>6.0606060606060606E-3</v>
      </c>
      <c r="R943" s="19">
        <f t="shared" si="72"/>
        <v>1</v>
      </c>
      <c r="S943" s="6">
        <f t="shared" si="73"/>
        <v>1</v>
      </c>
      <c r="T943" s="5">
        <f t="shared" si="74"/>
        <v>1</v>
      </c>
    </row>
    <row r="944" spans="2:20" x14ac:dyDescent="0.25">
      <c r="B944" t="s">
        <v>727</v>
      </c>
      <c r="E944">
        <v>1</v>
      </c>
      <c r="F944">
        <v>3</v>
      </c>
      <c r="N944">
        <v>4</v>
      </c>
      <c r="O944" s="1">
        <v>4</v>
      </c>
      <c r="P944" s="11">
        <f t="shared" si="70"/>
        <v>0.36363636363636365</v>
      </c>
      <c r="Q944" s="11">
        <f t="shared" si="71"/>
        <v>1.2121212121212121E-2</v>
      </c>
      <c r="R944" s="19">
        <f t="shared" si="72"/>
        <v>1</v>
      </c>
      <c r="S944" s="6">
        <f t="shared" si="73"/>
        <v>1</v>
      </c>
      <c r="T944" s="5">
        <f t="shared" si="74"/>
        <v>1</v>
      </c>
    </row>
    <row r="945" spans="2:20" x14ac:dyDescent="0.25">
      <c r="B945" t="s">
        <v>1074</v>
      </c>
      <c r="L945">
        <v>58</v>
      </c>
      <c r="M945">
        <v>60</v>
      </c>
      <c r="N945">
        <v>118</v>
      </c>
      <c r="O945" s="1">
        <v>118</v>
      </c>
      <c r="P945" s="11">
        <f t="shared" si="70"/>
        <v>10.727272727272727</v>
      </c>
      <c r="Q945" s="11">
        <f t="shared" si="71"/>
        <v>0.35757575757575755</v>
      </c>
      <c r="R945" s="19">
        <f t="shared" si="72"/>
        <v>7</v>
      </c>
      <c r="S945" s="6">
        <f t="shared" si="73"/>
        <v>5</v>
      </c>
      <c r="T945" s="5">
        <f t="shared" si="74"/>
        <v>3</v>
      </c>
    </row>
    <row r="946" spans="2:20" x14ac:dyDescent="0.25">
      <c r="B946" t="s">
        <v>728</v>
      </c>
      <c r="E946">
        <v>1</v>
      </c>
      <c r="N946">
        <v>1</v>
      </c>
      <c r="O946" s="1">
        <v>1</v>
      </c>
      <c r="P946" s="11">
        <f t="shared" si="70"/>
        <v>9.0909090909090912E-2</v>
      </c>
      <c r="Q946" s="11">
        <f t="shared" si="71"/>
        <v>3.0303030303030303E-3</v>
      </c>
      <c r="R946" s="19">
        <f t="shared" si="72"/>
        <v>1</v>
      </c>
      <c r="S946" s="6">
        <f t="shared" si="73"/>
        <v>1</v>
      </c>
      <c r="T946" s="5">
        <f t="shared" si="74"/>
        <v>1</v>
      </c>
    </row>
    <row r="947" spans="2:20" x14ac:dyDescent="0.25">
      <c r="B947" t="s">
        <v>623</v>
      </c>
      <c r="D947">
        <v>1</v>
      </c>
      <c r="N947">
        <v>1</v>
      </c>
      <c r="O947" s="1">
        <v>1</v>
      </c>
      <c r="P947" s="11">
        <f t="shared" si="70"/>
        <v>9.0909090909090912E-2</v>
      </c>
      <c r="Q947" s="11">
        <f t="shared" si="71"/>
        <v>3.0303030303030303E-3</v>
      </c>
      <c r="R947" s="19">
        <f t="shared" si="72"/>
        <v>1</v>
      </c>
      <c r="S947" s="6">
        <f t="shared" si="73"/>
        <v>1</v>
      </c>
      <c r="T947" s="5">
        <f t="shared" si="74"/>
        <v>1</v>
      </c>
    </row>
    <row r="948" spans="2:20" x14ac:dyDescent="0.25">
      <c r="B948" t="s">
        <v>424</v>
      </c>
      <c r="C948">
        <v>8</v>
      </c>
      <c r="D948">
        <v>14</v>
      </c>
      <c r="E948">
        <v>4</v>
      </c>
      <c r="F948">
        <v>6</v>
      </c>
      <c r="G948">
        <v>8</v>
      </c>
      <c r="H948">
        <v>22</v>
      </c>
      <c r="I948">
        <v>6</v>
      </c>
      <c r="J948">
        <v>8</v>
      </c>
      <c r="K948">
        <v>5</v>
      </c>
      <c r="L948">
        <v>23</v>
      </c>
      <c r="M948">
        <v>25</v>
      </c>
      <c r="N948">
        <v>129</v>
      </c>
      <c r="O948" s="1">
        <v>129</v>
      </c>
      <c r="P948" s="11">
        <f t="shared" si="70"/>
        <v>11.727272727272727</v>
      </c>
      <c r="Q948" s="11">
        <f t="shared" si="71"/>
        <v>0.39090909090909087</v>
      </c>
      <c r="R948" s="19">
        <f t="shared" si="72"/>
        <v>7</v>
      </c>
      <c r="S948" s="6">
        <f t="shared" si="73"/>
        <v>5</v>
      </c>
      <c r="T948" s="5">
        <f t="shared" si="74"/>
        <v>3</v>
      </c>
    </row>
    <row r="949" spans="2:20" x14ac:dyDescent="0.25">
      <c r="B949" t="s">
        <v>425</v>
      </c>
      <c r="C949">
        <v>3</v>
      </c>
      <c r="D949">
        <v>1</v>
      </c>
      <c r="E949">
        <v>1</v>
      </c>
      <c r="F949">
        <v>2</v>
      </c>
      <c r="G949">
        <v>4</v>
      </c>
      <c r="H949">
        <v>2</v>
      </c>
      <c r="J949">
        <v>2</v>
      </c>
      <c r="L949">
        <v>2</v>
      </c>
      <c r="N949">
        <v>17</v>
      </c>
      <c r="O949" s="1">
        <v>17</v>
      </c>
      <c r="P949" s="11">
        <f t="shared" si="70"/>
        <v>1.5454545454545454</v>
      </c>
      <c r="Q949" s="11">
        <f t="shared" si="71"/>
        <v>5.1515151515151514E-2</v>
      </c>
      <c r="R949" s="19">
        <f t="shared" si="72"/>
        <v>1</v>
      </c>
      <c r="S949" s="6">
        <f t="shared" si="73"/>
        <v>1</v>
      </c>
      <c r="T949" s="5">
        <f t="shared" si="74"/>
        <v>1</v>
      </c>
    </row>
    <row r="950" spans="2:20" x14ac:dyDescent="0.25">
      <c r="B950" t="s">
        <v>426</v>
      </c>
      <c r="C950">
        <v>1</v>
      </c>
      <c r="D950">
        <v>2</v>
      </c>
      <c r="F950">
        <v>1</v>
      </c>
      <c r="G950">
        <v>2</v>
      </c>
      <c r="N950">
        <v>6</v>
      </c>
      <c r="O950" s="1">
        <v>6</v>
      </c>
      <c r="P950" s="11">
        <f t="shared" si="70"/>
        <v>0.54545454545454541</v>
      </c>
      <c r="Q950" s="11">
        <f t="shared" si="71"/>
        <v>1.8181818181818181E-2</v>
      </c>
      <c r="R950" s="19">
        <f t="shared" si="72"/>
        <v>1</v>
      </c>
      <c r="S950" s="6">
        <f t="shared" si="73"/>
        <v>1</v>
      </c>
      <c r="T950" s="5">
        <f t="shared" si="74"/>
        <v>1</v>
      </c>
    </row>
    <row r="951" spans="2:20" x14ac:dyDescent="0.25">
      <c r="B951" t="s">
        <v>948</v>
      </c>
      <c r="I951">
        <v>2</v>
      </c>
      <c r="J951">
        <v>1</v>
      </c>
      <c r="K951">
        <v>2</v>
      </c>
      <c r="N951">
        <v>5</v>
      </c>
      <c r="O951" s="1">
        <v>5</v>
      </c>
      <c r="P951" s="11">
        <f t="shared" si="70"/>
        <v>0.45454545454545453</v>
      </c>
      <c r="Q951" s="11">
        <f t="shared" si="71"/>
        <v>1.515151515151515E-2</v>
      </c>
      <c r="R951" s="19">
        <f t="shared" si="72"/>
        <v>1</v>
      </c>
      <c r="S951" s="6">
        <f t="shared" si="73"/>
        <v>1</v>
      </c>
      <c r="T951" s="5">
        <f t="shared" si="74"/>
        <v>1</v>
      </c>
    </row>
    <row r="952" spans="2:20" x14ac:dyDescent="0.25">
      <c r="B952" t="s">
        <v>427</v>
      </c>
      <c r="C952">
        <v>1</v>
      </c>
      <c r="E952">
        <v>1</v>
      </c>
      <c r="F952">
        <v>1</v>
      </c>
      <c r="G952">
        <v>1</v>
      </c>
      <c r="H952">
        <v>3</v>
      </c>
      <c r="I952">
        <v>1</v>
      </c>
      <c r="J952">
        <v>2</v>
      </c>
      <c r="K952">
        <v>2</v>
      </c>
      <c r="L952">
        <v>1</v>
      </c>
      <c r="M952">
        <v>2</v>
      </c>
      <c r="N952">
        <v>15</v>
      </c>
      <c r="O952" s="1">
        <v>15</v>
      </c>
      <c r="P952" s="11">
        <f t="shared" si="70"/>
        <v>1.3636363636363635</v>
      </c>
      <c r="Q952" s="11">
        <f t="shared" si="71"/>
        <v>4.5454545454545449E-2</v>
      </c>
      <c r="R952" s="19">
        <f t="shared" si="72"/>
        <v>1</v>
      </c>
      <c r="S952" s="6">
        <f t="shared" si="73"/>
        <v>1</v>
      </c>
      <c r="T952" s="5">
        <f t="shared" si="74"/>
        <v>1</v>
      </c>
    </row>
    <row r="953" spans="2:20" x14ac:dyDescent="0.25">
      <c r="B953" t="s">
        <v>428</v>
      </c>
      <c r="C953">
        <v>1</v>
      </c>
      <c r="D953">
        <v>1</v>
      </c>
      <c r="L953">
        <v>0</v>
      </c>
      <c r="N953">
        <v>2</v>
      </c>
      <c r="O953" s="1">
        <v>2</v>
      </c>
      <c r="P953" s="11">
        <f t="shared" si="70"/>
        <v>0.18181818181818182</v>
      </c>
      <c r="Q953" s="11">
        <f t="shared" si="71"/>
        <v>6.0606060606060606E-3</v>
      </c>
      <c r="R953" s="19">
        <f t="shared" si="72"/>
        <v>1</v>
      </c>
      <c r="S953" s="6">
        <f t="shared" si="73"/>
        <v>1</v>
      </c>
      <c r="T953" s="5">
        <f t="shared" si="74"/>
        <v>1</v>
      </c>
    </row>
    <row r="954" spans="2:20" x14ac:dyDescent="0.25">
      <c r="B954" t="s">
        <v>805</v>
      </c>
      <c r="F954">
        <v>1</v>
      </c>
      <c r="N954">
        <v>1</v>
      </c>
      <c r="O954" s="1">
        <v>1</v>
      </c>
      <c r="P954" s="11">
        <f t="shared" si="70"/>
        <v>9.0909090909090912E-2</v>
      </c>
      <c r="Q954" s="11">
        <f t="shared" si="71"/>
        <v>3.0303030303030303E-3</v>
      </c>
      <c r="R954" s="19">
        <f t="shared" si="72"/>
        <v>1</v>
      </c>
      <c r="S954" s="6">
        <f t="shared" si="73"/>
        <v>1</v>
      </c>
      <c r="T954" s="5">
        <f t="shared" si="74"/>
        <v>1</v>
      </c>
    </row>
    <row r="955" spans="2:20" x14ac:dyDescent="0.25">
      <c r="B955" t="s">
        <v>848</v>
      </c>
      <c r="G955">
        <v>1</v>
      </c>
      <c r="I955">
        <v>2</v>
      </c>
      <c r="J955">
        <v>1</v>
      </c>
      <c r="L955">
        <v>1</v>
      </c>
      <c r="N955">
        <v>5</v>
      </c>
      <c r="O955" s="1">
        <v>5</v>
      </c>
      <c r="P955" s="11">
        <f t="shared" si="70"/>
        <v>0.45454545454545453</v>
      </c>
      <c r="Q955" s="11">
        <f t="shared" si="71"/>
        <v>1.515151515151515E-2</v>
      </c>
      <c r="R955" s="19">
        <f t="shared" si="72"/>
        <v>1</v>
      </c>
      <c r="S955" s="6">
        <f t="shared" si="73"/>
        <v>1</v>
      </c>
      <c r="T955" s="5">
        <f t="shared" si="74"/>
        <v>1</v>
      </c>
    </row>
    <row r="956" spans="2:20" x14ac:dyDescent="0.25">
      <c r="B956" t="s">
        <v>949</v>
      </c>
      <c r="I956">
        <v>1</v>
      </c>
      <c r="N956">
        <v>1</v>
      </c>
      <c r="O956" s="1">
        <v>1</v>
      </c>
      <c r="P956" s="11">
        <f t="shared" si="70"/>
        <v>9.0909090909090912E-2</v>
      </c>
      <c r="Q956" s="11">
        <f t="shared" si="71"/>
        <v>3.0303030303030303E-3</v>
      </c>
      <c r="R956" s="19">
        <f t="shared" si="72"/>
        <v>1</v>
      </c>
      <c r="S956" s="6">
        <f t="shared" si="73"/>
        <v>1</v>
      </c>
      <c r="T956" s="5">
        <f t="shared" si="74"/>
        <v>1</v>
      </c>
    </row>
    <row r="957" spans="2:20" x14ac:dyDescent="0.25">
      <c r="B957" t="s">
        <v>429</v>
      </c>
      <c r="C957">
        <v>15</v>
      </c>
      <c r="D957">
        <v>51</v>
      </c>
      <c r="E957">
        <v>34</v>
      </c>
      <c r="F957">
        <v>22</v>
      </c>
      <c r="G957">
        <v>26</v>
      </c>
      <c r="H957">
        <v>22</v>
      </c>
      <c r="I957">
        <v>18</v>
      </c>
      <c r="J957">
        <v>26</v>
      </c>
      <c r="K957">
        <v>43</v>
      </c>
      <c r="L957">
        <v>67</v>
      </c>
      <c r="M957">
        <v>29</v>
      </c>
      <c r="N957">
        <v>353</v>
      </c>
      <c r="O957" s="1">
        <v>353</v>
      </c>
      <c r="P957" s="11">
        <f t="shared" si="70"/>
        <v>32.090909090909093</v>
      </c>
      <c r="Q957" s="11">
        <f t="shared" si="71"/>
        <v>1.0696969696969698</v>
      </c>
      <c r="R957" s="19">
        <f t="shared" si="72"/>
        <v>15</v>
      </c>
      <c r="S957" s="6">
        <f t="shared" si="73"/>
        <v>13</v>
      </c>
      <c r="T957" s="5">
        <f t="shared" si="74"/>
        <v>9</v>
      </c>
    </row>
    <row r="958" spans="2:20" x14ac:dyDescent="0.25">
      <c r="B958" t="s">
        <v>982</v>
      </c>
      <c r="J958">
        <v>2</v>
      </c>
      <c r="K958">
        <v>1</v>
      </c>
      <c r="N958">
        <v>3</v>
      </c>
      <c r="O958" s="1">
        <v>3</v>
      </c>
      <c r="P958" s="11">
        <f t="shared" si="70"/>
        <v>0.27272727272727271</v>
      </c>
      <c r="Q958" s="11">
        <f t="shared" si="71"/>
        <v>9.0909090909090905E-3</v>
      </c>
      <c r="R958" s="19">
        <f t="shared" si="72"/>
        <v>1</v>
      </c>
      <c r="S958" s="6">
        <f t="shared" si="73"/>
        <v>1</v>
      </c>
      <c r="T958" s="5">
        <f t="shared" si="74"/>
        <v>1</v>
      </c>
    </row>
    <row r="959" spans="2:20" x14ac:dyDescent="0.25">
      <c r="B959" t="s">
        <v>430</v>
      </c>
      <c r="C959">
        <v>87</v>
      </c>
      <c r="D959">
        <v>18</v>
      </c>
      <c r="E959">
        <v>21</v>
      </c>
      <c r="G959">
        <v>4</v>
      </c>
      <c r="H959">
        <v>61</v>
      </c>
      <c r="I959">
        <v>13</v>
      </c>
      <c r="J959">
        <v>42</v>
      </c>
      <c r="K959">
        <v>24</v>
      </c>
      <c r="L959">
        <v>32</v>
      </c>
      <c r="M959">
        <v>49</v>
      </c>
      <c r="N959">
        <v>351</v>
      </c>
      <c r="O959" s="1">
        <v>351</v>
      </c>
      <c r="P959" s="11">
        <f t="shared" si="70"/>
        <v>31.90909090909091</v>
      </c>
      <c r="Q959" s="11">
        <f t="shared" si="71"/>
        <v>1.0636363636363637</v>
      </c>
      <c r="R959" s="19">
        <f t="shared" si="72"/>
        <v>15</v>
      </c>
      <c r="S959" s="6">
        <f t="shared" si="73"/>
        <v>13</v>
      </c>
      <c r="T959" s="5">
        <f t="shared" si="74"/>
        <v>9</v>
      </c>
    </row>
    <row r="960" spans="2:20" x14ac:dyDescent="0.25">
      <c r="B960" t="s">
        <v>431</v>
      </c>
      <c r="C960">
        <v>1</v>
      </c>
      <c r="N960">
        <v>1</v>
      </c>
      <c r="O960" s="1">
        <v>1</v>
      </c>
      <c r="P960" s="11">
        <f t="shared" si="70"/>
        <v>9.0909090909090912E-2</v>
      </c>
      <c r="Q960" s="11">
        <f t="shared" si="71"/>
        <v>3.0303030303030303E-3</v>
      </c>
      <c r="R960" s="19">
        <f t="shared" si="72"/>
        <v>1</v>
      </c>
      <c r="S960" s="6">
        <f t="shared" si="73"/>
        <v>1</v>
      </c>
      <c r="T960" s="5">
        <f t="shared" si="74"/>
        <v>1</v>
      </c>
    </row>
    <row r="961" spans="2:20" x14ac:dyDescent="0.25">
      <c r="B961" t="s">
        <v>432</v>
      </c>
      <c r="C961">
        <v>3</v>
      </c>
      <c r="D961">
        <v>0</v>
      </c>
      <c r="E961">
        <v>2</v>
      </c>
      <c r="L961">
        <v>1</v>
      </c>
      <c r="M961">
        <v>4</v>
      </c>
      <c r="N961">
        <v>10</v>
      </c>
      <c r="O961" s="1">
        <v>10</v>
      </c>
      <c r="P961" s="11">
        <f t="shared" si="70"/>
        <v>0.90909090909090906</v>
      </c>
      <c r="Q961" s="11">
        <f t="shared" si="71"/>
        <v>3.03030303030303E-2</v>
      </c>
      <c r="R961" s="19">
        <f t="shared" si="72"/>
        <v>1</v>
      </c>
      <c r="S961" s="6">
        <f t="shared" si="73"/>
        <v>1</v>
      </c>
      <c r="T961" s="5">
        <f t="shared" si="74"/>
        <v>1</v>
      </c>
    </row>
    <row r="962" spans="2:20" x14ac:dyDescent="0.25">
      <c r="B962" t="s">
        <v>433</v>
      </c>
      <c r="C962">
        <v>1</v>
      </c>
      <c r="N962">
        <v>1</v>
      </c>
      <c r="O962" s="1">
        <v>1</v>
      </c>
      <c r="P962" s="11">
        <f t="shared" si="70"/>
        <v>9.0909090909090912E-2</v>
      </c>
      <c r="Q962" s="11">
        <f t="shared" si="71"/>
        <v>3.0303030303030303E-3</v>
      </c>
      <c r="R962" s="19">
        <f t="shared" si="72"/>
        <v>1</v>
      </c>
      <c r="S962" s="6">
        <f t="shared" si="73"/>
        <v>1</v>
      </c>
      <c r="T962" s="5">
        <f t="shared" si="74"/>
        <v>1</v>
      </c>
    </row>
    <row r="963" spans="2:20" x14ac:dyDescent="0.25">
      <c r="B963" t="s">
        <v>434</v>
      </c>
      <c r="C963">
        <v>5</v>
      </c>
      <c r="D963">
        <v>4</v>
      </c>
      <c r="E963">
        <v>2</v>
      </c>
      <c r="F963">
        <v>3</v>
      </c>
      <c r="G963">
        <v>3</v>
      </c>
      <c r="H963">
        <v>1</v>
      </c>
      <c r="J963">
        <v>9</v>
      </c>
      <c r="L963">
        <v>2</v>
      </c>
      <c r="M963">
        <v>4</v>
      </c>
      <c r="N963">
        <v>33</v>
      </c>
      <c r="O963" s="1">
        <v>33</v>
      </c>
      <c r="P963" s="11">
        <f t="shared" si="70"/>
        <v>3</v>
      </c>
      <c r="Q963" s="11">
        <f t="shared" si="71"/>
        <v>0.1</v>
      </c>
      <c r="R963" s="19">
        <f t="shared" si="72"/>
        <v>3</v>
      </c>
      <c r="S963" s="6">
        <f t="shared" si="73"/>
        <v>3</v>
      </c>
      <c r="T963" s="5">
        <f t="shared" si="74"/>
        <v>1</v>
      </c>
    </row>
    <row r="964" spans="2:20" x14ac:dyDescent="0.25">
      <c r="B964" t="s">
        <v>1103</v>
      </c>
      <c r="M964">
        <v>1</v>
      </c>
      <c r="N964">
        <v>1</v>
      </c>
      <c r="O964" s="1">
        <v>1</v>
      </c>
      <c r="P964" s="11">
        <f t="shared" si="70"/>
        <v>9.0909090909090912E-2</v>
      </c>
      <c r="Q964" s="11">
        <f t="shared" si="71"/>
        <v>3.0303030303030303E-3</v>
      </c>
      <c r="R964" s="19">
        <f t="shared" si="72"/>
        <v>1</v>
      </c>
      <c r="S964" s="6">
        <f t="shared" si="73"/>
        <v>1</v>
      </c>
      <c r="T964" s="5">
        <f t="shared" si="74"/>
        <v>1</v>
      </c>
    </row>
    <row r="965" spans="2:20" x14ac:dyDescent="0.25">
      <c r="B965" t="s">
        <v>983</v>
      </c>
      <c r="J965">
        <v>2</v>
      </c>
      <c r="M965">
        <v>1</v>
      </c>
      <c r="N965">
        <v>3</v>
      </c>
      <c r="O965" s="1">
        <v>3</v>
      </c>
      <c r="P965" s="11">
        <f t="shared" si="70"/>
        <v>0.27272727272727271</v>
      </c>
      <c r="Q965" s="11">
        <f t="shared" si="71"/>
        <v>9.0909090909090905E-3</v>
      </c>
      <c r="R965" s="19">
        <f t="shared" si="72"/>
        <v>1</v>
      </c>
      <c r="S965" s="6">
        <f t="shared" si="73"/>
        <v>1</v>
      </c>
      <c r="T965" s="5">
        <f t="shared" si="74"/>
        <v>1</v>
      </c>
    </row>
    <row r="966" spans="2:20" x14ac:dyDescent="0.25">
      <c r="B966" t="s">
        <v>729</v>
      </c>
      <c r="E966">
        <v>1</v>
      </c>
      <c r="G966">
        <v>1</v>
      </c>
      <c r="J966">
        <v>1</v>
      </c>
      <c r="K966">
        <v>2</v>
      </c>
      <c r="L966">
        <v>2</v>
      </c>
      <c r="N966">
        <v>7</v>
      </c>
      <c r="O966" s="1">
        <v>7</v>
      </c>
      <c r="P966" s="11">
        <f t="shared" ref="P966:P1029" si="75">O966/11</f>
        <v>0.63636363636363635</v>
      </c>
      <c r="Q966" s="11">
        <f t="shared" si="71"/>
        <v>2.1212121212121213E-2</v>
      </c>
      <c r="R966" s="19">
        <f t="shared" si="72"/>
        <v>1</v>
      </c>
      <c r="S966" s="6">
        <f t="shared" si="73"/>
        <v>1</v>
      </c>
      <c r="T966" s="5">
        <f t="shared" si="74"/>
        <v>1</v>
      </c>
    </row>
    <row r="967" spans="2:20" x14ac:dyDescent="0.25">
      <c r="B967" t="s">
        <v>849</v>
      </c>
      <c r="G967">
        <v>1</v>
      </c>
      <c r="N967">
        <v>1</v>
      </c>
      <c r="O967" s="1">
        <v>1</v>
      </c>
      <c r="P967" s="11">
        <f t="shared" si="75"/>
        <v>9.0909090909090912E-2</v>
      </c>
      <c r="Q967" s="11">
        <f t="shared" ref="Q967:Q1030" si="76">P967/30</f>
        <v>3.0303030303030303E-3</v>
      </c>
      <c r="R967" s="19">
        <f t="shared" ref="R967:R1030" si="77">ODD(Q967*14)</f>
        <v>1</v>
      </c>
      <c r="S967" s="6">
        <f t="shared" ref="S967:S1030" si="78">ODD(Q967*10.5)</f>
        <v>1</v>
      </c>
      <c r="T967" s="5">
        <f t="shared" ref="T967:T1030" si="79">ODD(Q967*7)</f>
        <v>1</v>
      </c>
    </row>
    <row r="968" spans="2:20" x14ac:dyDescent="0.25">
      <c r="B968" t="s">
        <v>435</v>
      </c>
      <c r="C968">
        <v>1</v>
      </c>
      <c r="N968">
        <v>1</v>
      </c>
      <c r="O968" s="1">
        <v>1</v>
      </c>
      <c r="P968" s="11">
        <f t="shared" si="75"/>
        <v>9.0909090909090912E-2</v>
      </c>
      <c r="Q968" s="11">
        <f t="shared" si="76"/>
        <v>3.0303030303030303E-3</v>
      </c>
      <c r="R968" s="19">
        <f t="shared" si="77"/>
        <v>1</v>
      </c>
      <c r="S968" s="6">
        <f t="shared" si="78"/>
        <v>1</v>
      </c>
      <c r="T968" s="5">
        <f t="shared" si="79"/>
        <v>1</v>
      </c>
    </row>
    <row r="969" spans="2:20" x14ac:dyDescent="0.25">
      <c r="B969" t="s">
        <v>436</v>
      </c>
      <c r="C969">
        <v>1</v>
      </c>
      <c r="D969">
        <v>1</v>
      </c>
      <c r="N969">
        <v>2</v>
      </c>
      <c r="O969" s="1">
        <v>2</v>
      </c>
      <c r="P969" s="11">
        <f t="shared" si="75"/>
        <v>0.18181818181818182</v>
      </c>
      <c r="Q969" s="11">
        <f t="shared" si="76"/>
        <v>6.0606060606060606E-3</v>
      </c>
      <c r="R969" s="19">
        <f t="shared" si="77"/>
        <v>1</v>
      </c>
      <c r="S969" s="6">
        <f t="shared" si="78"/>
        <v>1</v>
      </c>
      <c r="T969" s="5">
        <f t="shared" si="79"/>
        <v>1</v>
      </c>
    </row>
    <row r="970" spans="2:20" x14ac:dyDescent="0.25">
      <c r="B970" t="s">
        <v>437</v>
      </c>
      <c r="C970">
        <v>1</v>
      </c>
      <c r="N970">
        <v>1</v>
      </c>
      <c r="O970" s="1">
        <v>1</v>
      </c>
      <c r="P970" s="11">
        <f t="shared" si="75"/>
        <v>9.0909090909090912E-2</v>
      </c>
      <c r="Q970" s="11">
        <f t="shared" si="76"/>
        <v>3.0303030303030303E-3</v>
      </c>
      <c r="R970" s="19">
        <f t="shared" si="77"/>
        <v>1</v>
      </c>
      <c r="S970" s="6">
        <f t="shared" si="78"/>
        <v>1</v>
      </c>
      <c r="T970" s="5">
        <f t="shared" si="79"/>
        <v>1</v>
      </c>
    </row>
    <row r="971" spans="2:20" x14ac:dyDescent="0.25">
      <c r="B971" t="s">
        <v>903</v>
      </c>
      <c r="H971">
        <v>1</v>
      </c>
      <c r="N971">
        <v>1</v>
      </c>
      <c r="O971" s="1">
        <v>1</v>
      </c>
      <c r="P971" s="11">
        <f t="shared" si="75"/>
        <v>9.0909090909090912E-2</v>
      </c>
      <c r="Q971" s="11">
        <f t="shared" si="76"/>
        <v>3.0303030303030303E-3</v>
      </c>
      <c r="R971" s="19">
        <f t="shared" si="77"/>
        <v>1</v>
      </c>
      <c r="S971" s="6">
        <f t="shared" si="78"/>
        <v>1</v>
      </c>
      <c r="T971" s="5">
        <f t="shared" si="79"/>
        <v>1</v>
      </c>
    </row>
    <row r="972" spans="2:20" x14ac:dyDescent="0.25">
      <c r="B972" t="s">
        <v>624</v>
      </c>
      <c r="D972">
        <v>4</v>
      </c>
      <c r="G972">
        <v>3</v>
      </c>
      <c r="H972">
        <v>1</v>
      </c>
      <c r="J972">
        <v>1</v>
      </c>
      <c r="L972">
        <v>1</v>
      </c>
      <c r="M972">
        <v>1</v>
      </c>
      <c r="N972">
        <v>11</v>
      </c>
      <c r="O972" s="1">
        <v>11</v>
      </c>
      <c r="P972" s="11">
        <f t="shared" si="75"/>
        <v>1</v>
      </c>
      <c r="Q972" s="11">
        <f t="shared" si="76"/>
        <v>3.3333333333333333E-2</v>
      </c>
      <c r="R972" s="19">
        <f t="shared" si="77"/>
        <v>1</v>
      </c>
      <c r="S972" s="6">
        <f t="shared" si="78"/>
        <v>1</v>
      </c>
      <c r="T972" s="5">
        <f t="shared" si="79"/>
        <v>1</v>
      </c>
    </row>
    <row r="973" spans="2:20" x14ac:dyDescent="0.25">
      <c r="B973" t="s">
        <v>438</v>
      </c>
      <c r="C973">
        <v>5</v>
      </c>
      <c r="D973">
        <v>3</v>
      </c>
      <c r="E973">
        <v>4</v>
      </c>
      <c r="F973">
        <v>4</v>
      </c>
      <c r="G973">
        <v>2</v>
      </c>
      <c r="H973">
        <v>1</v>
      </c>
      <c r="I973">
        <v>2</v>
      </c>
      <c r="J973">
        <v>3</v>
      </c>
      <c r="K973">
        <v>2</v>
      </c>
      <c r="L973">
        <v>4</v>
      </c>
      <c r="M973">
        <v>4</v>
      </c>
      <c r="N973">
        <v>34</v>
      </c>
      <c r="O973" s="1">
        <v>34</v>
      </c>
      <c r="P973" s="11">
        <f t="shared" si="75"/>
        <v>3.0909090909090908</v>
      </c>
      <c r="Q973" s="11">
        <f t="shared" si="76"/>
        <v>0.10303030303030303</v>
      </c>
      <c r="R973" s="19">
        <f t="shared" si="77"/>
        <v>3</v>
      </c>
      <c r="S973" s="6">
        <f t="shared" si="78"/>
        <v>3</v>
      </c>
      <c r="T973" s="5">
        <f t="shared" si="79"/>
        <v>1</v>
      </c>
    </row>
    <row r="974" spans="2:20" x14ac:dyDescent="0.25">
      <c r="B974" t="s">
        <v>730</v>
      </c>
      <c r="E974">
        <v>1</v>
      </c>
      <c r="N974">
        <v>1</v>
      </c>
      <c r="O974" s="1">
        <v>1</v>
      </c>
      <c r="P974" s="11">
        <f t="shared" si="75"/>
        <v>9.0909090909090912E-2</v>
      </c>
      <c r="Q974" s="11">
        <f t="shared" si="76"/>
        <v>3.0303030303030303E-3</v>
      </c>
      <c r="R974" s="19">
        <f t="shared" si="77"/>
        <v>1</v>
      </c>
      <c r="S974" s="6">
        <f t="shared" si="78"/>
        <v>1</v>
      </c>
      <c r="T974" s="5">
        <f t="shared" si="79"/>
        <v>1</v>
      </c>
    </row>
    <row r="975" spans="2:20" x14ac:dyDescent="0.25">
      <c r="B975" t="s">
        <v>439</v>
      </c>
      <c r="C975">
        <v>4</v>
      </c>
      <c r="D975">
        <v>2</v>
      </c>
      <c r="E975">
        <v>5</v>
      </c>
      <c r="F975">
        <v>1</v>
      </c>
      <c r="H975">
        <v>1</v>
      </c>
      <c r="I975">
        <v>4</v>
      </c>
      <c r="J975">
        <v>7</v>
      </c>
      <c r="K975">
        <v>5</v>
      </c>
      <c r="L975">
        <v>2</v>
      </c>
      <c r="M975">
        <v>2</v>
      </c>
      <c r="N975">
        <v>33</v>
      </c>
      <c r="O975" s="1">
        <v>33</v>
      </c>
      <c r="P975" s="11">
        <f t="shared" si="75"/>
        <v>3</v>
      </c>
      <c r="Q975" s="11">
        <f t="shared" si="76"/>
        <v>0.1</v>
      </c>
      <c r="R975" s="19">
        <f t="shared" si="77"/>
        <v>3</v>
      </c>
      <c r="S975" s="6">
        <f t="shared" si="78"/>
        <v>3</v>
      </c>
      <c r="T975" s="5">
        <f t="shared" si="79"/>
        <v>1</v>
      </c>
    </row>
    <row r="976" spans="2:20" x14ac:dyDescent="0.25">
      <c r="B976" t="s">
        <v>440</v>
      </c>
      <c r="C976">
        <v>1</v>
      </c>
      <c r="E976">
        <v>1</v>
      </c>
      <c r="N976">
        <v>2</v>
      </c>
      <c r="O976" s="1">
        <v>2</v>
      </c>
      <c r="P976" s="11">
        <f t="shared" si="75"/>
        <v>0.18181818181818182</v>
      </c>
      <c r="Q976" s="11">
        <f t="shared" si="76"/>
        <v>6.0606060606060606E-3</v>
      </c>
      <c r="R976" s="19">
        <f t="shared" si="77"/>
        <v>1</v>
      </c>
      <c r="S976" s="6">
        <f t="shared" si="78"/>
        <v>1</v>
      </c>
      <c r="T976" s="5">
        <f t="shared" si="79"/>
        <v>1</v>
      </c>
    </row>
    <row r="977" spans="2:20" x14ac:dyDescent="0.25">
      <c r="B977" t="s">
        <v>806</v>
      </c>
      <c r="F977">
        <v>1</v>
      </c>
      <c r="J977">
        <v>1</v>
      </c>
      <c r="K977">
        <v>1</v>
      </c>
      <c r="L977">
        <v>1</v>
      </c>
      <c r="M977">
        <v>1</v>
      </c>
      <c r="N977">
        <v>5</v>
      </c>
      <c r="O977" s="1">
        <v>5</v>
      </c>
      <c r="P977" s="11">
        <f t="shared" si="75"/>
        <v>0.45454545454545453</v>
      </c>
      <c r="Q977" s="11">
        <f t="shared" si="76"/>
        <v>1.515151515151515E-2</v>
      </c>
      <c r="R977" s="19">
        <f t="shared" si="77"/>
        <v>1</v>
      </c>
      <c r="S977" s="6">
        <f t="shared" si="78"/>
        <v>1</v>
      </c>
      <c r="T977" s="5">
        <f t="shared" si="79"/>
        <v>1</v>
      </c>
    </row>
    <row r="978" spans="2:20" x14ac:dyDescent="0.25">
      <c r="B978" t="s">
        <v>441</v>
      </c>
      <c r="C978">
        <v>1</v>
      </c>
      <c r="F978">
        <v>2</v>
      </c>
      <c r="G978">
        <v>5</v>
      </c>
      <c r="H978">
        <v>4</v>
      </c>
      <c r="I978">
        <v>3</v>
      </c>
      <c r="J978">
        <v>2</v>
      </c>
      <c r="K978">
        <v>1</v>
      </c>
      <c r="M978">
        <v>1</v>
      </c>
      <c r="N978">
        <v>19</v>
      </c>
      <c r="O978" s="1">
        <v>19</v>
      </c>
      <c r="P978" s="11">
        <f t="shared" si="75"/>
        <v>1.7272727272727273</v>
      </c>
      <c r="Q978" s="11">
        <f t="shared" si="76"/>
        <v>5.7575757575757579E-2</v>
      </c>
      <c r="R978" s="19">
        <f t="shared" si="77"/>
        <v>1</v>
      </c>
      <c r="S978" s="6">
        <f t="shared" si="78"/>
        <v>1</v>
      </c>
      <c r="T978" s="5">
        <f t="shared" si="79"/>
        <v>1</v>
      </c>
    </row>
    <row r="979" spans="2:20" x14ac:dyDescent="0.25">
      <c r="B979" t="s">
        <v>625</v>
      </c>
      <c r="D979">
        <v>1</v>
      </c>
      <c r="E979">
        <v>1</v>
      </c>
      <c r="F979">
        <v>2</v>
      </c>
      <c r="G979">
        <v>3</v>
      </c>
      <c r="H979">
        <v>6</v>
      </c>
      <c r="I979">
        <v>8</v>
      </c>
      <c r="J979">
        <v>2</v>
      </c>
      <c r="K979">
        <v>2</v>
      </c>
      <c r="L979">
        <v>7</v>
      </c>
      <c r="M979">
        <v>3</v>
      </c>
      <c r="N979">
        <v>35</v>
      </c>
      <c r="O979" s="1">
        <v>35</v>
      </c>
      <c r="P979" s="11">
        <f t="shared" si="75"/>
        <v>3.1818181818181817</v>
      </c>
      <c r="Q979" s="11">
        <f t="shared" si="76"/>
        <v>0.10606060606060605</v>
      </c>
      <c r="R979" s="19">
        <f t="shared" si="77"/>
        <v>3</v>
      </c>
      <c r="S979" s="6">
        <f t="shared" si="78"/>
        <v>3</v>
      </c>
      <c r="T979" s="5">
        <f t="shared" si="79"/>
        <v>1</v>
      </c>
    </row>
    <row r="980" spans="2:20" x14ac:dyDescent="0.25">
      <c r="B980" t="s">
        <v>442</v>
      </c>
      <c r="C980">
        <v>4</v>
      </c>
      <c r="J980">
        <v>1</v>
      </c>
      <c r="L980">
        <v>1</v>
      </c>
      <c r="M980">
        <v>1</v>
      </c>
      <c r="N980">
        <v>7</v>
      </c>
      <c r="O980" s="1">
        <v>7</v>
      </c>
      <c r="P980" s="11">
        <f t="shared" si="75"/>
        <v>0.63636363636363635</v>
      </c>
      <c r="Q980" s="11">
        <f t="shared" si="76"/>
        <v>2.1212121212121213E-2</v>
      </c>
      <c r="R980" s="19">
        <f t="shared" si="77"/>
        <v>1</v>
      </c>
      <c r="S980" s="6">
        <f t="shared" si="78"/>
        <v>1</v>
      </c>
      <c r="T980" s="5">
        <f t="shared" si="79"/>
        <v>1</v>
      </c>
    </row>
    <row r="981" spans="2:20" x14ac:dyDescent="0.25">
      <c r="B981" t="s">
        <v>443</v>
      </c>
      <c r="C981">
        <v>1</v>
      </c>
      <c r="E981">
        <v>1</v>
      </c>
      <c r="F981">
        <v>3</v>
      </c>
      <c r="I981">
        <v>2</v>
      </c>
      <c r="J981">
        <v>4</v>
      </c>
      <c r="K981">
        <v>1</v>
      </c>
      <c r="L981">
        <v>1</v>
      </c>
      <c r="M981">
        <v>3</v>
      </c>
      <c r="N981">
        <v>16</v>
      </c>
      <c r="O981" s="1">
        <v>16</v>
      </c>
      <c r="P981" s="11">
        <f t="shared" si="75"/>
        <v>1.4545454545454546</v>
      </c>
      <c r="Q981" s="11">
        <f t="shared" si="76"/>
        <v>4.8484848484848485E-2</v>
      </c>
      <c r="R981" s="19">
        <f t="shared" si="77"/>
        <v>1</v>
      </c>
      <c r="S981" s="6">
        <f t="shared" si="78"/>
        <v>1</v>
      </c>
      <c r="T981" s="5">
        <f t="shared" si="79"/>
        <v>1</v>
      </c>
    </row>
    <row r="982" spans="2:20" x14ac:dyDescent="0.25">
      <c r="B982" t="s">
        <v>444</v>
      </c>
      <c r="C982">
        <v>2</v>
      </c>
      <c r="D982">
        <v>2</v>
      </c>
      <c r="E982">
        <v>1</v>
      </c>
      <c r="N982">
        <v>5</v>
      </c>
      <c r="O982" s="1">
        <v>5</v>
      </c>
      <c r="P982" s="11">
        <f t="shared" si="75"/>
        <v>0.45454545454545453</v>
      </c>
      <c r="Q982" s="11">
        <f t="shared" si="76"/>
        <v>1.515151515151515E-2</v>
      </c>
      <c r="R982" s="19">
        <f t="shared" si="77"/>
        <v>1</v>
      </c>
      <c r="S982" s="6">
        <f t="shared" si="78"/>
        <v>1</v>
      </c>
      <c r="T982" s="5">
        <f t="shared" si="79"/>
        <v>1</v>
      </c>
    </row>
    <row r="983" spans="2:20" x14ac:dyDescent="0.25">
      <c r="B983" t="s">
        <v>445</v>
      </c>
      <c r="C983">
        <v>1</v>
      </c>
      <c r="D983">
        <v>8</v>
      </c>
      <c r="E983">
        <v>5</v>
      </c>
      <c r="F983">
        <v>3</v>
      </c>
      <c r="G983">
        <v>4</v>
      </c>
      <c r="H983">
        <v>4</v>
      </c>
      <c r="I983">
        <v>3</v>
      </c>
      <c r="J983">
        <v>8</v>
      </c>
      <c r="K983">
        <v>5</v>
      </c>
      <c r="L983">
        <v>10</v>
      </c>
      <c r="M983">
        <v>7</v>
      </c>
      <c r="N983">
        <v>58</v>
      </c>
      <c r="O983" s="1">
        <v>58</v>
      </c>
      <c r="P983" s="11">
        <f t="shared" si="75"/>
        <v>5.2727272727272725</v>
      </c>
      <c r="Q983" s="11">
        <f t="shared" si="76"/>
        <v>0.17575757575757575</v>
      </c>
      <c r="R983" s="19">
        <f t="shared" si="77"/>
        <v>3</v>
      </c>
      <c r="S983" s="6">
        <f t="shared" si="78"/>
        <v>3</v>
      </c>
      <c r="T983" s="5">
        <f t="shared" si="79"/>
        <v>3</v>
      </c>
    </row>
    <row r="984" spans="2:20" x14ac:dyDescent="0.25">
      <c r="B984" t="s">
        <v>446</v>
      </c>
      <c r="C984">
        <v>3</v>
      </c>
      <c r="D984">
        <v>6</v>
      </c>
      <c r="E984">
        <v>3</v>
      </c>
      <c r="F984">
        <v>3</v>
      </c>
      <c r="G984">
        <v>5</v>
      </c>
      <c r="I984">
        <v>2</v>
      </c>
      <c r="J984">
        <v>5</v>
      </c>
      <c r="K984">
        <v>2</v>
      </c>
      <c r="L984">
        <v>3</v>
      </c>
      <c r="M984">
        <v>6</v>
      </c>
      <c r="N984">
        <v>38</v>
      </c>
      <c r="O984" s="1">
        <v>38</v>
      </c>
      <c r="P984" s="11">
        <f t="shared" si="75"/>
        <v>3.4545454545454546</v>
      </c>
      <c r="Q984" s="11">
        <f t="shared" si="76"/>
        <v>0.11515151515151516</v>
      </c>
      <c r="R984" s="19">
        <f t="shared" si="77"/>
        <v>3</v>
      </c>
      <c r="S984" s="6">
        <f t="shared" si="78"/>
        <v>3</v>
      </c>
      <c r="T984" s="5">
        <f t="shared" si="79"/>
        <v>1</v>
      </c>
    </row>
    <row r="985" spans="2:20" x14ac:dyDescent="0.25">
      <c r="B985" t="s">
        <v>1028</v>
      </c>
      <c r="K985">
        <v>1</v>
      </c>
      <c r="N985">
        <v>1</v>
      </c>
      <c r="O985" s="1">
        <v>1</v>
      </c>
      <c r="P985" s="11">
        <f t="shared" si="75"/>
        <v>9.0909090909090912E-2</v>
      </c>
      <c r="Q985" s="11">
        <f t="shared" si="76"/>
        <v>3.0303030303030303E-3</v>
      </c>
      <c r="R985" s="19">
        <f t="shared" si="77"/>
        <v>1</v>
      </c>
      <c r="S985" s="6">
        <f t="shared" si="78"/>
        <v>1</v>
      </c>
      <c r="T985" s="5">
        <f t="shared" si="79"/>
        <v>1</v>
      </c>
    </row>
    <row r="986" spans="2:20" x14ac:dyDescent="0.25">
      <c r="B986" t="s">
        <v>447</v>
      </c>
      <c r="C986">
        <v>1</v>
      </c>
      <c r="D986">
        <v>1</v>
      </c>
      <c r="E986">
        <v>1</v>
      </c>
      <c r="F986">
        <v>3</v>
      </c>
      <c r="H986">
        <v>2</v>
      </c>
      <c r="N986">
        <v>8</v>
      </c>
      <c r="O986" s="1">
        <v>8</v>
      </c>
      <c r="P986" s="11">
        <f t="shared" si="75"/>
        <v>0.72727272727272729</v>
      </c>
      <c r="Q986" s="11">
        <f t="shared" si="76"/>
        <v>2.4242424242424242E-2</v>
      </c>
      <c r="R986" s="19">
        <f t="shared" si="77"/>
        <v>1</v>
      </c>
      <c r="S986" s="6">
        <f t="shared" si="78"/>
        <v>1</v>
      </c>
      <c r="T986" s="5">
        <f t="shared" si="79"/>
        <v>1</v>
      </c>
    </row>
    <row r="987" spans="2:20" x14ac:dyDescent="0.25">
      <c r="B987" t="s">
        <v>448</v>
      </c>
      <c r="C987">
        <v>1</v>
      </c>
      <c r="N987">
        <v>1</v>
      </c>
      <c r="O987" s="1">
        <v>1</v>
      </c>
      <c r="P987" s="11">
        <f t="shared" si="75"/>
        <v>9.0909090909090912E-2</v>
      </c>
      <c r="Q987" s="11">
        <f t="shared" si="76"/>
        <v>3.0303030303030303E-3</v>
      </c>
      <c r="R987" s="19">
        <f t="shared" si="77"/>
        <v>1</v>
      </c>
      <c r="S987" s="6">
        <f t="shared" si="78"/>
        <v>1</v>
      </c>
      <c r="T987" s="5">
        <f t="shared" si="79"/>
        <v>1</v>
      </c>
    </row>
    <row r="988" spans="2:20" x14ac:dyDescent="0.25">
      <c r="B988" t="s">
        <v>626</v>
      </c>
      <c r="D988">
        <v>1</v>
      </c>
      <c r="N988">
        <v>1</v>
      </c>
      <c r="O988" s="1">
        <v>1</v>
      </c>
      <c r="P988" s="11">
        <f t="shared" si="75"/>
        <v>9.0909090909090912E-2</v>
      </c>
      <c r="Q988" s="11">
        <f t="shared" si="76"/>
        <v>3.0303030303030303E-3</v>
      </c>
      <c r="R988" s="19">
        <f t="shared" si="77"/>
        <v>1</v>
      </c>
      <c r="S988" s="6">
        <f t="shared" si="78"/>
        <v>1</v>
      </c>
      <c r="T988" s="5">
        <f t="shared" si="79"/>
        <v>1</v>
      </c>
    </row>
    <row r="989" spans="2:20" x14ac:dyDescent="0.25">
      <c r="B989" t="s">
        <v>904</v>
      </c>
      <c r="H989">
        <v>2</v>
      </c>
      <c r="N989">
        <v>2</v>
      </c>
      <c r="O989" s="1">
        <v>2</v>
      </c>
      <c r="P989" s="11">
        <f t="shared" si="75"/>
        <v>0.18181818181818182</v>
      </c>
      <c r="Q989" s="11">
        <f t="shared" si="76"/>
        <v>6.0606060606060606E-3</v>
      </c>
      <c r="R989" s="19">
        <f t="shared" si="77"/>
        <v>1</v>
      </c>
      <c r="S989" s="6">
        <f t="shared" si="78"/>
        <v>1</v>
      </c>
      <c r="T989" s="5">
        <f t="shared" si="79"/>
        <v>1</v>
      </c>
    </row>
    <row r="990" spans="2:20" x14ac:dyDescent="0.25">
      <c r="B990" t="s">
        <v>627</v>
      </c>
      <c r="D990">
        <v>20</v>
      </c>
      <c r="E990">
        <v>4</v>
      </c>
      <c r="G990">
        <v>10</v>
      </c>
      <c r="H990">
        <v>6</v>
      </c>
      <c r="J990">
        <v>12</v>
      </c>
      <c r="K990">
        <v>13</v>
      </c>
      <c r="L990">
        <v>4</v>
      </c>
      <c r="N990">
        <v>69</v>
      </c>
      <c r="O990" s="1">
        <v>69</v>
      </c>
      <c r="P990" s="11">
        <f t="shared" si="75"/>
        <v>6.2727272727272725</v>
      </c>
      <c r="Q990" s="11">
        <f t="shared" si="76"/>
        <v>0.20909090909090908</v>
      </c>
      <c r="R990" s="19">
        <f t="shared" si="77"/>
        <v>3</v>
      </c>
      <c r="S990" s="6">
        <f t="shared" si="78"/>
        <v>3</v>
      </c>
      <c r="T990" s="5">
        <f t="shared" si="79"/>
        <v>3</v>
      </c>
    </row>
    <row r="991" spans="2:20" x14ac:dyDescent="0.25">
      <c r="B991" t="s">
        <v>449</v>
      </c>
      <c r="C991">
        <v>7</v>
      </c>
      <c r="D991">
        <v>13</v>
      </c>
      <c r="E991">
        <v>6</v>
      </c>
      <c r="F991">
        <v>4</v>
      </c>
      <c r="G991">
        <v>4</v>
      </c>
      <c r="H991">
        <v>15</v>
      </c>
      <c r="I991">
        <v>6</v>
      </c>
      <c r="J991">
        <v>3</v>
      </c>
      <c r="K991">
        <v>8</v>
      </c>
      <c r="L991">
        <v>11</v>
      </c>
      <c r="M991">
        <v>8</v>
      </c>
      <c r="N991">
        <v>85</v>
      </c>
      <c r="O991" s="1">
        <v>85</v>
      </c>
      <c r="P991" s="11">
        <f t="shared" si="75"/>
        <v>7.7272727272727275</v>
      </c>
      <c r="Q991" s="11">
        <f t="shared" si="76"/>
        <v>0.25757575757575757</v>
      </c>
      <c r="R991" s="19">
        <f t="shared" si="77"/>
        <v>5</v>
      </c>
      <c r="S991" s="6">
        <f t="shared" si="78"/>
        <v>3</v>
      </c>
      <c r="T991" s="5">
        <f t="shared" si="79"/>
        <v>3</v>
      </c>
    </row>
    <row r="992" spans="2:20" x14ac:dyDescent="0.25">
      <c r="B992" t="s">
        <v>450</v>
      </c>
      <c r="C992">
        <v>2</v>
      </c>
      <c r="D992">
        <v>1</v>
      </c>
      <c r="E992">
        <v>1</v>
      </c>
      <c r="G992">
        <v>4</v>
      </c>
      <c r="H992">
        <v>3</v>
      </c>
      <c r="I992">
        <v>3</v>
      </c>
      <c r="K992">
        <v>2</v>
      </c>
      <c r="L992">
        <v>3</v>
      </c>
      <c r="M992">
        <v>2</v>
      </c>
      <c r="N992">
        <v>21</v>
      </c>
      <c r="O992" s="1">
        <v>21</v>
      </c>
      <c r="P992" s="11">
        <f t="shared" si="75"/>
        <v>1.9090909090909092</v>
      </c>
      <c r="Q992" s="11">
        <f t="shared" si="76"/>
        <v>6.3636363636363644E-2</v>
      </c>
      <c r="R992" s="19">
        <f t="shared" si="77"/>
        <v>1</v>
      </c>
      <c r="S992" s="6">
        <f t="shared" si="78"/>
        <v>1</v>
      </c>
      <c r="T992" s="5">
        <f t="shared" si="79"/>
        <v>1</v>
      </c>
    </row>
    <row r="993" spans="2:20" x14ac:dyDescent="0.25">
      <c r="B993" t="s">
        <v>1104</v>
      </c>
      <c r="M993">
        <v>1</v>
      </c>
      <c r="N993">
        <v>1</v>
      </c>
      <c r="O993" s="1">
        <v>1</v>
      </c>
      <c r="P993" s="11">
        <f t="shared" si="75"/>
        <v>9.0909090909090912E-2</v>
      </c>
      <c r="Q993" s="11">
        <f t="shared" si="76"/>
        <v>3.0303030303030303E-3</v>
      </c>
      <c r="R993" s="19">
        <f t="shared" si="77"/>
        <v>1</v>
      </c>
      <c r="S993" s="6">
        <f t="shared" si="78"/>
        <v>1</v>
      </c>
      <c r="T993" s="5">
        <f t="shared" si="79"/>
        <v>1</v>
      </c>
    </row>
    <row r="994" spans="2:20" x14ac:dyDescent="0.25">
      <c r="B994" t="s">
        <v>731</v>
      </c>
      <c r="E994">
        <v>1</v>
      </c>
      <c r="N994">
        <v>1</v>
      </c>
      <c r="O994" s="1">
        <v>1</v>
      </c>
      <c r="P994" s="11">
        <f t="shared" si="75"/>
        <v>9.0909090909090912E-2</v>
      </c>
      <c r="Q994" s="11">
        <f t="shared" si="76"/>
        <v>3.0303030303030303E-3</v>
      </c>
      <c r="R994" s="19">
        <f t="shared" si="77"/>
        <v>1</v>
      </c>
      <c r="S994" s="6">
        <f t="shared" si="78"/>
        <v>1</v>
      </c>
      <c r="T994" s="5">
        <f t="shared" si="79"/>
        <v>1</v>
      </c>
    </row>
    <row r="995" spans="2:20" x14ac:dyDescent="0.25">
      <c r="B995" t="s">
        <v>451</v>
      </c>
      <c r="C995">
        <v>14</v>
      </c>
      <c r="D995">
        <v>2</v>
      </c>
      <c r="E995">
        <v>11</v>
      </c>
      <c r="F995">
        <v>3</v>
      </c>
      <c r="G995">
        <v>3</v>
      </c>
      <c r="H995">
        <v>3</v>
      </c>
      <c r="I995">
        <v>2</v>
      </c>
      <c r="J995">
        <v>2</v>
      </c>
      <c r="K995">
        <v>1</v>
      </c>
      <c r="M995">
        <v>1</v>
      </c>
      <c r="N995">
        <v>42</v>
      </c>
      <c r="O995" s="1">
        <v>42</v>
      </c>
      <c r="P995" s="11">
        <f t="shared" si="75"/>
        <v>3.8181818181818183</v>
      </c>
      <c r="Q995" s="11">
        <f t="shared" si="76"/>
        <v>0.12727272727272729</v>
      </c>
      <c r="R995" s="19">
        <f t="shared" si="77"/>
        <v>3</v>
      </c>
      <c r="S995" s="6">
        <f t="shared" si="78"/>
        <v>3</v>
      </c>
      <c r="T995" s="5">
        <f t="shared" si="79"/>
        <v>1</v>
      </c>
    </row>
    <row r="996" spans="2:20" x14ac:dyDescent="0.25">
      <c r="B996" t="s">
        <v>452</v>
      </c>
      <c r="C996">
        <v>14</v>
      </c>
      <c r="D996">
        <v>2</v>
      </c>
      <c r="E996">
        <v>11</v>
      </c>
      <c r="F996">
        <v>3</v>
      </c>
      <c r="G996">
        <v>4</v>
      </c>
      <c r="H996">
        <v>4</v>
      </c>
      <c r="I996">
        <v>2</v>
      </c>
      <c r="J996">
        <v>2</v>
      </c>
      <c r="K996">
        <v>1</v>
      </c>
      <c r="M996">
        <v>1</v>
      </c>
      <c r="N996">
        <v>44</v>
      </c>
      <c r="O996" s="1">
        <v>44</v>
      </c>
      <c r="P996" s="11">
        <f t="shared" si="75"/>
        <v>4</v>
      </c>
      <c r="Q996" s="11">
        <f t="shared" si="76"/>
        <v>0.13333333333333333</v>
      </c>
      <c r="R996" s="19">
        <f t="shared" si="77"/>
        <v>3</v>
      </c>
      <c r="S996" s="6">
        <f t="shared" si="78"/>
        <v>3</v>
      </c>
      <c r="T996" s="5">
        <f t="shared" si="79"/>
        <v>1</v>
      </c>
    </row>
    <row r="997" spans="2:20" x14ac:dyDescent="0.25">
      <c r="B997" t="s">
        <v>628</v>
      </c>
      <c r="D997">
        <v>2</v>
      </c>
      <c r="E997">
        <v>2</v>
      </c>
      <c r="F997">
        <v>1</v>
      </c>
      <c r="H997">
        <v>0</v>
      </c>
      <c r="I997">
        <v>1</v>
      </c>
      <c r="J997">
        <v>1</v>
      </c>
      <c r="K997">
        <v>2</v>
      </c>
      <c r="L997">
        <v>3</v>
      </c>
      <c r="M997">
        <v>3</v>
      </c>
      <c r="N997">
        <v>15</v>
      </c>
      <c r="O997" s="1">
        <v>15</v>
      </c>
      <c r="P997" s="11">
        <f t="shared" si="75"/>
        <v>1.3636363636363635</v>
      </c>
      <c r="Q997" s="11">
        <f t="shared" si="76"/>
        <v>4.5454545454545449E-2</v>
      </c>
      <c r="R997" s="19">
        <f t="shared" si="77"/>
        <v>1</v>
      </c>
      <c r="S997" s="6">
        <f t="shared" si="78"/>
        <v>1</v>
      </c>
      <c r="T997" s="5">
        <f t="shared" si="79"/>
        <v>1</v>
      </c>
    </row>
    <row r="998" spans="2:20" x14ac:dyDescent="0.25">
      <c r="B998" t="s">
        <v>984</v>
      </c>
      <c r="J998">
        <v>1</v>
      </c>
      <c r="K998">
        <v>3</v>
      </c>
      <c r="N998">
        <v>4</v>
      </c>
      <c r="O998" s="1">
        <v>4</v>
      </c>
      <c r="P998" s="11">
        <f t="shared" si="75"/>
        <v>0.36363636363636365</v>
      </c>
      <c r="Q998" s="11">
        <f t="shared" si="76"/>
        <v>1.2121212121212121E-2</v>
      </c>
      <c r="R998" s="19">
        <f t="shared" si="77"/>
        <v>1</v>
      </c>
      <c r="S998" s="6">
        <f t="shared" si="78"/>
        <v>1</v>
      </c>
      <c r="T998" s="5">
        <f t="shared" si="79"/>
        <v>1</v>
      </c>
    </row>
    <row r="999" spans="2:20" x14ac:dyDescent="0.25">
      <c r="B999" t="s">
        <v>905</v>
      </c>
      <c r="H999">
        <v>1</v>
      </c>
      <c r="N999">
        <v>1</v>
      </c>
      <c r="O999" s="1">
        <v>1</v>
      </c>
      <c r="P999" s="11">
        <f t="shared" si="75"/>
        <v>9.0909090909090912E-2</v>
      </c>
      <c r="Q999" s="11">
        <f t="shared" si="76"/>
        <v>3.0303030303030303E-3</v>
      </c>
      <c r="R999" s="19">
        <f t="shared" si="77"/>
        <v>1</v>
      </c>
      <c r="S999" s="6">
        <f t="shared" si="78"/>
        <v>1</v>
      </c>
      <c r="T999" s="5">
        <f t="shared" si="79"/>
        <v>1</v>
      </c>
    </row>
    <row r="1000" spans="2:20" x14ac:dyDescent="0.25">
      <c r="B1000" t="s">
        <v>850</v>
      </c>
      <c r="P1000" s="11">
        <f t="shared" si="75"/>
        <v>0</v>
      </c>
      <c r="Q1000" s="11">
        <f t="shared" si="76"/>
        <v>0</v>
      </c>
      <c r="R1000" s="19">
        <f t="shared" si="77"/>
        <v>1</v>
      </c>
      <c r="S1000" s="6">
        <f t="shared" si="78"/>
        <v>1</v>
      </c>
      <c r="T1000" s="7">
        <f t="shared" si="79"/>
        <v>1</v>
      </c>
    </row>
    <row r="1001" spans="2:20" x14ac:dyDescent="0.25">
      <c r="B1001" t="s">
        <v>453</v>
      </c>
      <c r="C1001">
        <v>1</v>
      </c>
      <c r="D1001">
        <v>1</v>
      </c>
      <c r="F1001">
        <v>1</v>
      </c>
      <c r="H1001">
        <v>1</v>
      </c>
      <c r="L1001">
        <v>1</v>
      </c>
      <c r="N1001">
        <v>5</v>
      </c>
      <c r="O1001" s="1">
        <v>5</v>
      </c>
      <c r="P1001" s="11">
        <f t="shared" si="75"/>
        <v>0.45454545454545453</v>
      </c>
      <c r="Q1001" s="11">
        <f t="shared" si="76"/>
        <v>1.515151515151515E-2</v>
      </c>
      <c r="R1001" s="19">
        <f t="shared" si="77"/>
        <v>1</v>
      </c>
      <c r="S1001" s="6">
        <f t="shared" si="78"/>
        <v>1</v>
      </c>
      <c r="T1001" s="5">
        <f t="shared" si="79"/>
        <v>1</v>
      </c>
    </row>
    <row r="1002" spans="2:20" x14ac:dyDescent="0.25">
      <c r="B1002" t="s">
        <v>454</v>
      </c>
      <c r="C1002">
        <v>36</v>
      </c>
      <c r="D1002">
        <v>30</v>
      </c>
      <c r="E1002">
        <v>23</v>
      </c>
      <c r="F1002">
        <v>19</v>
      </c>
      <c r="G1002">
        <v>18</v>
      </c>
      <c r="H1002">
        <v>29</v>
      </c>
      <c r="I1002">
        <v>12</v>
      </c>
      <c r="J1002">
        <v>18</v>
      </c>
      <c r="K1002">
        <v>21</v>
      </c>
      <c r="L1002">
        <v>24</v>
      </c>
      <c r="M1002">
        <v>29</v>
      </c>
      <c r="N1002">
        <v>259</v>
      </c>
      <c r="O1002" s="1">
        <v>259</v>
      </c>
      <c r="P1002" s="11">
        <f t="shared" si="75"/>
        <v>23.545454545454547</v>
      </c>
      <c r="Q1002" s="11">
        <f t="shared" si="76"/>
        <v>0.78484848484848491</v>
      </c>
      <c r="R1002" s="19">
        <f t="shared" si="77"/>
        <v>11</v>
      </c>
      <c r="S1002" s="6">
        <f t="shared" si="78"/>
        <v>9</v>
      </c>
      <c r="T1002" s="5">
        <f t="shared" si="79"/>
        <v>7</v>
      </c>
    </row>
    <row r="1003" spans="2:20" x14ac:dyDescent="0.25">
      <c r="B1003" t="s">
        <v>629</v>
      </c>
      <c r="D1003">
        <v>1</v>
      </c>
      <c r="I1003">
        <v>1</v>
      </c>
      <c r="L1003">
        <v>1</v>
      </c>
      <c r="N1003">
        <v>3</v>
      </c>
      <c r="O1003" s="1">
        <v>3</v>
      </c>
      <c r="P1003" s="11">
        <f t="shared" si="75"/>
        <v>0.27272727272727271</v>
      </c>
      <c r="Q1003" s="11">
        <f t="shared" si="76"/>
        <v>9.0909090909090905E-3</v>
      </c>
      <c r="R1003" s="19">
        <f t="shared" si="77"/>
        <v>1</v>
      </c>
      <c r="S1003" s="6">
        <f t="shared" si="78"/>
        <v>1</v>
      </c>
      <c r="T1003" s="5">
        <f t="shared" si="79"/>
        <v>1</v>
      </c>
    </row>
    <row r="1004" spans="2:20" x14ac:dyDescent="0.25">
      <c r="B1004" t="s">
        <v>1029</v>
      </c>
      <c r="K1004">
        <v>1</v>
      </c>
      <c r="L1004">
        <v>1</v>
      </c>
      <c r="N1004">
        <v>2</v>
      </c>
      <c r="O1004" s="1">
        <v>2</v>
      </c>
      <c r="P1004" s="11">
        <f t="shared" si="75"/>
        <v>0.18181818181818182</v>
      </c>
      <c r="Q1004" s="11">
        <f t="shared" si="76"/>
        <v>6.0606060606060606E-3</v>
      </c>
      <c r="R1004" s="19">
        <f t="shared" si="77"/>
        <v>1</v>
      </c>
      <c r="S1004" s="6">
        <f t="shared" si="78"/>
        <v>1</v>
      </c>
      <c r="T1004" s="5">
        <f t="shared" si="79"/>
        <v>1</v>
      </c>
    </row>
    <row r="1005" spans="2:20" x14ac:dyDescent="0.25">
      <c r="B1005" t="s">
        <v>1105</v>
      </c>
      <c r="M1005">
        <v>1</v>
      </c>
      <c r="N1005">
        <v>1</v>
      </c>
      <c r="O1005" s="1">
        <v>1</v>
      </c>
      <c r="P1005" s="11">
        <f t="shared" si="75"/>
        <v>9.0909090909090912E-2</v>
      </c>
      <c r="Q1005" s="11">
        <f t="shared" si="76"/>
        <v>3.0303030303030303E-3</v>
      </c>
      <c r="R1005" s="19">
        <f t="shared" si="77"/>
        <v>1</v>
      </c>
      <c r="S1005" s="6">
        <f t="shared" si="78"/>
        <v>1</v>
      </c>
      <c r="T1005" s="5">
        <f t="shared" si="79"/>
        <v>1</v>
      </c>
    </row>
    <row r="1006" spans="2:20" x14ac:dyDescent="0.25">
      <c r="B1006" t="s">
        <v>630</v>
      </c>
      <c r="D1006">
        <v>2</v>
      </c>
      <c r="L1006">
        <v>1</v>
      </c>
      <c r="N1006">
        <v>3</v>
      </c>
      <c r="O1006" s="1">
        <v>3</v>
      </c>
      <c r="P1006" s="11">
        <f t="shared" si="75"/>
        <v>0.27272727272727271</v>
      </c>
      <c r="Q1006" s="11">
        <f t="shared" si="76"/>
        <v>9.0909090909090905E-3</v>
      </c>
      <c r="R1006" s="19">
        <f t="shared" si="77"/>
        <v>1</v>
      </c>
      <c r="S1006" s="6">
        <f t="shared" si="78"/>
        <v>1</v>
      </c>
      <c r="T1006" s="5">
        <f t="shared" si="79"/>
        <v>1</v>
      </c>
    </row>
    <row r="1007" spans="2:20" x14ac:dyDescent="0.25">
      <c r="B1007" t="s">
        <v>906</v>
      </c>
      <c r="H1007">
        <v>2</v>
      </c>
      <c r="N1007">
        <v>2</v>
      </c>
      <c r="O1007" s="1">
        <v>2</v>
      </c>
      <c r="P1007" s="11">
        <f t="shared" si="75"/>
        <v>0.18181818181818182</v>
      </c>
      <c r="Q1007" s="11">
        <f t="shared" si="76"/>
        <v>6.0606060606060606E-3</v>
      </c>
      <c r="R1007" s="19">
        <f t="shared" si="77"/>
        <v>1</v>
      </c>
      <c r="S1007" s="6">
        <f t="shared" si="78"/>
        <v>1</v>
      </c>
      <c r="T1007" s="5">
        <f t="shared" si="79"/>
        <v>1</v>
      </c>
    </row>
    <row r="1008" spans="2:20" x14ac:dyDescent="0.25">
      <c r="B1008" t="s">
        <v>1075</v>
      </c>
      <c r="L1008">
        <v>1</v>
      </c>
      <c r="N1008">
        <v>1</v>
      </c>
      <c r="O1008" s="1">
        <v>1</v>
      </c>
      <c r="P1008" s="11">
        <f t="shared" si="75"/>
        <v>9.0909090909090912E-2</v>
      </c>
      <c r="Q1008" s="11">
        <f t="shared" si="76"/>
        <v>3.0303030303030303E-3</v>
      </c>
      <c r="R1008" s="19">
        <f t="shared" si="77"/>
        <v>1</v>
      </c>
      <c r="S1008" s="6">
        <f t="shared" si="78"/>
        <v>1</v>
      </c>
      <c r="T1008" s="5">
        <f t="shared" si="79"/>
        <v>1</v>
      </c>
    </row>
    <row r="1009" spans="2:20" x14ac:dyDescent="0.25">
      <c r="B1009" t="s">
        <v>1030</v>
      </c>
      <c r="K1009">
        <v>2</v>
      </c>
      <c r="N1009">
        <v>2</v>
      </c>
      <c r="O1009" s="1">
        <v>2</v>
      </c>
      <c r="P1009" s="11">
        <f t="shared" si="75"/>
        <v>0.18181818181818182</v>
      </c>
      <c r="Q1009" s="11">
        <f t="shared" si="76"/>
        <v>6.0606060606060606E-3</v>
      </c>
      <c r="R1009" s="19">
        <f t="shared" si="77"/>
        <v>1</v>
      </c>
      <c r="S1009" s="6">
        <f t="shared" si="78"/>
        <v>1</v>
      </c>
      <c r="T1009" s="5">
        <f t="shared" si="79"/>
        <v>1</v>
      </c>
    </row>
    <row r="1010" spans="2:20" x14ac:dyDescent="0.25">
      <c r="B1010" t="s">
        <v>455</v>
      </c>
      <c r="C1010">
        <v>3</v>
      </c>
      <c r="E1010">
        <v>3</v>
      </c>
      <c r="G1010">
        <v>3</v>
      </c>
      <c r="I1010">
        <v>3</v>
      </c>
      <c r="L1010">
        <v>3</v>
      </c>
      <c r="M1010">
        <v>5</v>
      </c>
      <c r="N1010">
        <v>20</v>
      </c>
      <c r="O1010" s="1">
        <v>20</v>
      </c>
      <c r="P1010" s="11">
        <f t="shared" si="75"/>
        <v>1.8181818181818181</v>
      </c>
      <c r="Q1010" s="11">
        <f t="shared" si="76"/>
        <v>6.0606060606060601E-2</v>
      </c>
      <c r="R1010" s="19">
        <f t="shared" si="77"/>
        <v>1</v>
      </c>
      <c r="S1010" s="6">
        <f t="shared" si="78"/>
        <v>1</v>
      </c>
      <c r="T1010" s="5">
        <f t="shared" si="79"/>
        <v>1</v>
      </c>
    </row>
    <row r="1011" spans="2:20" x14ac:dyDescent="0.25">
      <c r="B1011" t="s">
        <v>985</v>
      </c>
      <c r="J1011">
        <v>2</v>
      </c>
      <c r="N1011">
        <v>2</v>
      </c>
      <c r="O1011" s="1">
        <v>2</v>
      </c>
      <c r="P1011" s="11">
        <f t="shared" si="75"/>
        <v>0.18181818181818182</v>
      </c>
      <c r="Q1011" s="11">
        <f t="shared" si="76"/>
        <v>6.0606060606060606E-3</v>
      </c>
      <c r="R1011" s="19">
        <f t="shared" si="77"/>
        <v>1</v>
      </c>
      <c r="S1011" s="6">
        <f t="shared" si="78"/>
        <v>1</v>
      </c>
      <c r="T1011" s="5">
        <f t="shared" si="79"/>
        <v>1</v>
      </c>
    </row>
    <row r="1012" spans="2:20" x14ac:dyDescent="0.25">
      <c r="B1012" t="s">
        <v>456</v>
      </c>
      <c r="C1012">
        <v>3</v>
      </c>
      <c r="D1012">
        <v>8</v>
      </c>
      <c r="E1012">
        <v>3</v>
      </c>
      <c r="I1012">
        <v>1</v>
      </c>
      <c r="K1012">
        <v>0</v>
      </c>
      <c r="L1012">
        <v>1</v>
      </c>
      <c r="N1012">
        <v>16</v>
      </c>
      <c r="O1012" s="1">
        <v>16</v>
      </c>
      <c r="P1012" s="11">
        <f t="shared" si="75"/>
        <v>1.4545454545454546</v>
      </c>
      <c r="Q1012" s="11">
        <f t="shared" si="76"/>
        <v>4.8484848484848485E-2</v>
      </c>
      <c r="R1012" s="19">
        <f t="shared" si="77"/>
        <v>1</v>
      </c>
      <c r="S1012" s="6">
        <f t="shared" si="78"/>
        <v>1</v>
      </c>
      <c r="T1012" s="5">
        <f t="shared" si="79"/>
        <v>1</v>
      </c>
    </row>
    <row r="1013" spans="2:20" x14ac:dyDescent="0.25">
      <c r="B1013" t="s">
        <v>457</v>
      </c>
      <c r="C1013">
        <v>0</v>
      </c>
      <c r="E1013">
        <v>1</v>
      </c>
      <c r="M1013">
        <v>2</v>
      </c>
      <c r="N1013">
        <v>3</v>
      </c>
      <c r="O1013" s="1">
        <v>3</v>
      </c>
      <c r="P1013" s="11">
        <f t="shared" si="75"/>
        <v>0.27272727272727271</v>
      </c>
      <c r="Q1013" s="11">
        <f t="shared" si="76"/>
        <v>9.0909090909090905E-3</v>
      </c>
      <c r="R1013" s="19">
        <f t="shared" si="77"/>
        <v>1</v>
      </c>
      <c r="S1013" s="6">
        <f t="shared" si="78"/>
        <v>1</v>
      </c>
      <c r="T1013" s="5">
        <f t="shared" si="79"/>
        <v>1</v>
      </c>
    </row>
    <row r="1014" spans="2:20" x14ac:dyDescent="0.25">
      <c r="B1014" t="s">
        <v>458</v>
      </c>
      <c r="C1014">
        <v>1</v>
      </c>
      <c r="D1014">
        <v>2</v>
      </c>
      <c r="E1014">
        <v>2</v>
      </c>
      <c r="F1014">
        <v>3</v>
      </c>
      <c r="G1014">
        <v>2</v>
      </c>
      <c r="H1014">
        <v>2</v>
      </c>
      <c r="I1014">
        <v>2</v>
      </c>
      <c r="J1014">
        <v>4</v>
      </c>
      <c r="K1014">
        <v>2</v>
      </c>
      <c r="L1014">
        <v>2</v>
      </c>
      <c r="M1014">
        <v>1</v>
      </c>
      <c r="N1014">
        <v>23</v>
      </c>
      <c r="O1014" s="1">
        <v>23</v>
      </c>
      <c r="P1014" s="11">
        <f t="shared" si="75"/>
        <v>2.0909090909090908</v>
      </c>
      <c r="Q1014" s="11">
        <f t="shared" si="76"/>
        <v>6.9696969696969688E-2</v>
      </c>
      <c r="R1014" s="19">
        <f t="shared" si="77"/>
        <v>1</v>
      </c>
      <c r="S1014" s="6">
        <f t="shared" si="78"/>
        <v>1</v>
      </c>
      <c r="T1014" s="5">
        <f t="shared" si="79"/>
        <v>1</v>
      </c>
    </row>
    <row r="1015" spans="2:20" x14ac:dyDescent="0.25">
      <c r="B1015" t="s">
        <v>851</v>
      </c>
      <c r="G1015">
        <v>2</v>
      </c>
      <c r="H1015">
        <v>1</v>
      </c>
      <c r="I1015">
        <v>1</v>
      </c>
      <c r="J1015">
        <v>1</v>
      </c>
      <c r="K1015">
        <v>3</v>
      </c>
      <c r="L1015">
        <v>1</v>
      </c>
      <c r="N1015">
        <v>9</v>
      </c>
      <c r="O1015" s="1">
        <v>9</v>
      </c>
      <c r="P1015" s="11">
        <f t="shared" si="75"/>
        <v>0.81818181818181823</v>
      </c>
      <c r="Q1015" s="11">
        <f t="shared" si="76"/>
        <v>2.7272727272727275E-2</v>
      </c>
      <c r="R1015" s="19">
        <f t="shared" si="77"/>
        <v>1</v>
      </c>
      <c r="S1015" s="6">
        <f t="shared" si="78"/>
        <v>1</v>
      </c>
      <c r="T1015" s="5">
        <f t="shared" si="79"/>
        <v>1</v>
      </c>
    </row>
    <row r="1016" spans="2:20" x14ac:dyDescent="0.25">
      <c r="B1016" t="s">
        <v>459</v>
      </c>
      <c r="C1016">
        <v>151</v>
      </c>
      <c r="D1016">
        <v>89</v>
      </c>
      <c r="E1016">
        <v>157</v>
      </c>
      <c r="F1016">
        <v>116</v>
      </c>
      <c r="G1016">
        <v>94</v>
      </c>
      <c r="H1016">
        <v>134</v>
      </c>
      <c r="I1016">
        <v>105</v>
      </c>
      <c r="J1016">
        <v>70</v>
      </c>
      <c r="K1016">
        <v>183</v>
      </c>
      <c r="L1016">
        <v>98</v>
      </c>
      <c r="M1016">
        <v>108</v>
      </c>
      <c r="N1016">
        <v>1305</v>
      </c>
      <c r="O1016" s="1">
        <v>1305</v>
      </c>
      <c r="P1016" s="11">
        <f t="shared" si="75"/>
        <v>118.63636363636364</v>
      </c>
      <c r="Q1016" s="11">
        <f t="shared" si="76"/>
        <v>3.9545454545454546</v>
      </c>
      <c r="R1016" s="19">
        <f t="shared" si="77"/>
        <v>57</v>
      </c>
      <c r="S1016" s="6">
        <f t="shared" si="78"/>
        <v>43</v>
      </c>
      <c r="T1016" s="5">
        <f t="shared" si="79"/>
        <v>29</v>
      </c>
    </row>
    <row r="1017" spans="2:20" x14ac:dyDescent="0.25">
      <c r="B1017" t="s">
        <v>631</v>
      </c>
      <c r="D1017">
        <v>1</v>
      </c>
      <c r="F1017">
        <v>2</v>
      </c>
      <c r="N1017">
        <v>3</v>
      </c>
      <c r="O1017" s="1">
        <v>3</v>
      </c>
      <c r="P1017" s="11">
        <f t="shared" si="75"/>
        <v>0.27272727272727271</v>
      </c>
      <c r="Q1017" s="11">
        <f t="shared" si="76"/>
        <v>9.0909090909090905E-3</v>
      </c>
      <c r="R1017" s="19">
        <f t="shared" si="77"/>
        <v>1</v>
      </c>
      <c r="S1017" s="6">
        <f t="shared" si="78"/>
        <v>1</v>
      </c>
      <c r="T1017" s="5">
        <f t="shared" si="79"/>
        <v>1</v>
      </c>
    </row>
    <row r="1018" spans="2:20" x14ac:dyDescent="0.25">
      <c r="B1018" t="s">
        <v>460</v>
      </c>
      <c r="C1018">
        <v>1</v>
      </c>
      <c r="N1018">
        <v>1</v>
      </c>
      <c r="O1018" s="1">
        <v>1</v>
      </c>
      <c r="P1018" s="11">
        <f t="shared" si="75"/>
        <v>9.0909090909090912E-2</v>
      </c>
      <c r="Q1018" s="11">
        <f t="shared" si="76"/>
        <v>3.0303030303030303E-3</v>
      </c>
      <c r="R1018" s="19">
        <f t="shared" si="77"/>
        <v>1</v>
      </c>
      <c r="S1018" s="6">
        <f t="shared" si="78"/>
        <v>1</v>
      </c>
      <c r="T1018" s="5">
        <f t="shared" si="79"/>
        <v>1</v>
      </c>
    </row>
    <row r="1019" spans="2:20" x14ac:dyDescent="0.25">
      <c r="B1019" t="s">
        <v>732</v>
      </c>
      <c r="E1019">
        <v>6</v>
      </c>
      <c r="F1019">
        <v>2</v>
      </c>
      <c r="G1019">
        <v>3</v>
      </c>
      <c r="H1019">
        <v>2</v>
      </c>
      <c r="I1019">
        <v>1</v>
      </c>
      <c r="N1019">
        <v>14</v>
      </c>
      <c r="O1019" s="1">
        <v>14</v>
      </c>
      <c r="P1019" s="11">
        <f t="shared" si="75"/>
        <v>1.2727272727272727</v>
      </c>
      <c r="Q1019" s="11">
        <f t="shared" si="76"/>
        <v>4.2424242424242427E-2</v>
      </c>
      <c r="R1019" s="19">
        <f t="shared" si="77"/>
        <v>1</v>
      </c>
      <c r="S1019" s="6">
        <f t="shared" si="78"/>
        <v>1</v>
      </c>
      <c r="T1019" s="5">
        <f t="shared" si="79"/>
        <v>1</v>
      </c>
    </row>
    <row r="1020" spans="2:20" x14ac:dyDescent="0.25">
      <c r="B1020" t="s">
        <v>1031</v>
      </c>
      <c r="K1020">
        <v>2</v>
      </c>
      <c r="L1020">
        <v>1</v>
      </c>
      <c r="M1020">
        <v>5</v>
      </c>
      <c r="N1020">
        <v>8</v>
      </c>
      <c r="O1020" s="1">
        <v>8</v>
      </c>
      <c r="P1020" s="11">
        <f t="shared" si="75"/>
        <v>0.72727272727272729</v>
      </c>
      <c r="Q1020" s="11">
        <f t="shared" si="76"/>
        <v>2.4242424242424242E-2</v>
      </c>
      <c r="R1020" s="19">
        <f t="shared" si="77"/>
        <v>1</v>
      </c>
      <c r="S1020" s="6">
        <f t="shared" si="78"/>
        <v>1</v>
      </c>
      <c r="T1020" s="5">
        <f t="shared" si="79"/>
        <v>1</v>
      </c>
    </row>
    <row r="1021" spans="2:20" x14ac:dyDescent="0.25">
      <c r="B1021" t="s">
        <v>1106</v>
      </c>
      <c r="M1021">
        <v>1</v>
      </c>
      <c r="N1021">
        <v>1</v>
      </c>
      <c r="O1021" s="1">
        <v>1</v>
      </c>
      <c r="P1021" s="11">
        <f t="shared" si="75"/>
        <v>9.0909090909090912E-2</v>
      </c>
      <c r="Q1021" s="11">
        <f t="shared" si="76"/>
        <v>3.0303030303030303E-3</v>
      </c>
      <c r="R1021" s="19">
        <f t="shared" si="77"/>
        <v>1</v>
      </c>
      <c r="S1021" s="6">
        <f t="shared" si="78"/>
        <v>1</v>
      </c>
      <c r="T1021" s="5">
        <f t="shared" si="79"/>
        <v>1</v>
      </c>
    </row>
    <row r="1022" spans="2:20" x14ac:dyDescent="0.25">
      <c r="B1022" t="s">
        <v>950</v>
      </c>
      <c r="I1022">
        <v>1</v>
      </c>
      <c r="N1022">
        <v>1</v>
      </c>
      <c r="O1022" s="1">
        <v>1</v>
      </c>
      <c r="P1022" s="11">
        <f t="shared" si="75"/>
        <v>9.0909090909090912E-2</v>
      </c>
      <c r="Q1022" s="11">
        <f t="shared" si="76"/>
        <v>3.0303030303030303E-3</v>
      </c>
      <c r="R1022" s="19">
        <f t="shared" si="77"/>
        <v>1</v>
      </c>
      <c r="S1022" s="6">
        <f t="shared" si="78"/>
        <v>1</v>
      </c>
      <c r="T1022" s="5">
        <f t="shared" si="79"/>
        <v>1</v>
      </c>
    </row>
    <row r="1023" spans="2:20" x14ac:dyDescent="0.25">
      <c r="B1023" t="s">
        <v>461</v>
      </c>
      <c r="C1023">
        <v>1</v>
      </c>
      <c r="N1023">
        <v>1</v>
      </c>
      <c r="O1023" s="1">
        <v>1</v>
      </c>
      <c r="P1023" s="11">
        <f t="shared" si="75"/>
        <v>9.0909090909090912E-2</v>
      </c>
      <c r="Q1023" s="11">
        <f t="shared" si="76"/>
        <v>3.0303030303030303E-3</v>
      </c>
      <c r="R1023" s="19">
        <f t="shared" si="77"/>
        <v>1</v>
      </c>
      <c r="S1023" s="6">
        <f t="shared" si="78"/>
        <v>1</v>
      </c>
      <c r="T1023" s="5">
        <f t="shared" si="79"/>
        <v>1</v>
      </c>
    </row>
    <row r="1024" spans="2:20" x14ac:dyDescent="0.25">
      <c r="B1024" t="s">
        <v>462</v>
      </c>
      <c r="C1024">
        <v>1</v>
      </c>
      <c r="G1024">
        <v>1</v>
      </c>
      <c r="H1024">
        <v>1</v>
      </c>
      <c r="J1024">
        <v>1</v>
      </c>
      <c r="K1024">
        <v>1</v>
      </c>
      <c r="N1024">
        <v>5</v>
      </c>
      <c r="O1024" s="1">
        <v>5</v>
      </c>
      <c r="P1024" s="11">
        <f t="shared" si="75"/>
        <v>0.45454545454545453</v>
      </c>
      <c r="Q1024" s="11">
        <f t="shared" si="76"/>
        <v>1.515151515151515E-2</v>
      </c>
      <c r="R1024" s="19">
        <f t="shared" si="77"/>
        <v>1</v>
      </c>
      <c r="S1024" s="6">
        <f t="shared" si="78"/>
        <v>1</v>
      </c>
      <c r="T1024" s="5">
        <f t="shared" si="79"/>
        <v>1</v>
      </c>
    </row>
    <row r="1025" spans="2:20" x14ac:dyDescent="0.25">
      <c r="B1025" t="s">
        <v>1107</v>
      </c>
      <c r="M1025">
        <v>1</v>
      </c>
      <c r="N1025">
        <v>1</v>
      </c>
      <c r="O1025" s="1">
        <v>1</v>
      </c>
      <c r="P1025" s="11">
        <f t="shared" si="75"/>
        <v>9.0909090909090912E-2</v>
      </c>
      <c r="Q1025" s="11">
        <f t="shared" si="76"/>
        <v>3.0303030303030303E-3</v>
      </c>
      <c r="R1025" s="19">
        <f t="shared" si="77"/>
        <v>1</v>
      </c>
      <c r="S1025" s="6">
        <f t="shared" si="78"/>
        <v>1</v>
      </c>
      <c r="T1025" s="5">
        <f t="shared" si="79"/>
        <v>1</v>
      </c>
    </row>
    <row r="1026" spans="2:20" x14ac:dyDescent="0.25">
      <c r="B1026" t="s">
        <v>733</v>
      </c>
      <c r="E1026">
        <v>1</v>
      </c>
      <c r="F1026">
        <v>2</v>
      </c>
      <c r="G1026">
        <v>1</v>
      </c>
      <c r="I1026">
        <v>1</v>
      </c>
      <c r="J1026">
        <v>1</v>
      </c>
      <c r="L1026">
        <v>2</v>
      </c>
      <c r="N1026">
        <v>8</v>
      </c>
      <c r="O1026" s="1">
        <v>8</v>
      </c>
      <c r="P1026" s="11">
        <f t="shared" si="75"/>
        <v>0.72727272727272729</v>
      </c>
      <c r="Q1026" s="11">
        <f t="shared" si="76"/>
        <v>2.4242424242424242E-2</v>
      </c>
      <c r="R1026" s="19">
        <f t="shared" si="77"/>
        <v>1</v>
      </c>
      <c r="S1026" s="6">
        <f t="shared" si="78"/>
        <v>1</v>
      </c>
      <c r="T1026" s="5">
        <f t="shared" si="79"/>
        <v>1</v>
      </c>
    </row>
    <row r="1027" spans="2:20" x14ac:dyDescent="0.25">
      <c r="B1027" t="s">
        <v>907</v>
      </c>
      <c r="H1027">
        <v>1</v>
      </c>
      <c r="K1027">
        <v>1</v>
      </c>
      <c r="N1027">
        <v>2</v>
      </c>
      <c r="O1027" s="1">
        <v>2</v>
      </c>
      <c r="P1027" s="11">
        <f t="shared" si="75"/>
        <v>0.18181818181818182</v>
      </c>
      <c r="Q1027" s="11">
        <f t="shared" si="76"/>
        <v>6.0606060606060606E-3</v>
      </c>
      <c r="R1027" s="19">
        <f t="shared" si="77"/>
        <v>1</v>
      </c>
      <c r="S1027" s="6">
        <f t="shared" si="78"/>
        <v>1</v>
      </c>
      <c r="T1027" s="5">
        <f t="shared" si="79"/>
        <v>1</v>
      </c>
    </row>
    <row r="1028" spans="2:20" x14ac:dyDescent="0.25">
      <c r="B1028" t="s">
        <v>463</v>
      </c>
      <c r="C1028">
        <v>1</v>
      </c>
      <c r="E1028">
        <v>2</v>
      </c>
      <c r="F1028">
        <v>1</v>
      </c>
      <c r="G1028">
        <v>4</v>
      </c>
      <c r="H1028">
        <v>2</v>
      </c>
      <c r="N1028">
        <v>10</v>
      </c>
      <c r="O1028" s="1">
        <v>10</v>
      </c>
      <c r="P1028" s="11">
        <f t="shared" si="75"/>
        <v>0.90909090909090906</v>
      </c>
      <c r="Q1028" s="11">
        <f t="shared" si="76"/>
        <v>3.03030303030303E-2</v>
      </c>
      <c r="R1028" s="19">
        <f t="shared" si="77"/>
        <v>1</v>
      </c>
      <c r="S1028" s="6">
        <f t="shared" si="78"/>
        <v>1</v>
      </c>
      <c r="T1028" s="5">
        <f t="shared" si="79"/>
        <v>1</v>
      </c>
    </row>
    <row r="1029" spans="2:20" x14ac:dyDescent="0.25">
      <c r="B1029" t="s">
        <v>951</v>
      </c>
      <c r="I1029">
        <v>1</v>
      </c>
      <c r="N1029">
        <v>1</v>
      </c>
      <c r="O1029" s="1">
        <v>1</v>
      </c>
      <c r="P1029" s="11">
        <f t="shared" si="75"/>
        <v>9.0909090909090912E-2</v>
      </c>
      <c r="Q1029" s="11">
        <f t="shared" si="76"/>
        <v>3.0303030303030303E-3</v>
      </c>
      <c r="R1029" s="19">
        <f t="shared" si="77"/>
        <v>1</v>
      </c>
      <c r="S1029" s="6">
        <f t="shared" si="78"/>
        <v>1</v>
      </c>
      <c r="T1029" s="5">
        <f t="shared" si="79"/>
        <v>1</v>
      </c>
    </row>
    <row r="1030" spans="2:20" x14ac:dyDescent="0.25">
      <c r="B1030" t="s">
        <v>632</v>
      </c>
      <c r="D1030">
        <v>7</v>
      </c>
      <c r="E1030">
        <v>1</v>
      </c>
      <c r="F1030">
        <v>3</v>
      </c>
      <c r="H1030">
        <v>5</v>
      </c>
      <c r="N1030">
        <v>16</v>
      </c>
      <c r="O1030" s="1">
        <v>16</v>
      </c>
      <c r="P1030" s="11">
        <f t="shared" ref="P1030:P1093" si="80">O1030/11</f>
        <v>1.4545454545454546</v>
      </c>
      <c r="Q1030" s="11">
        <f t="shared" si="76"/>
        <v>4.8484848484848485E-2</v>
      </c>
      <c r="R1030" s="19">
        <f t="shared" si="77"/>
        <v>1</v>
      </c>
      <c r="S1030" s="6">
        <f t="shared" si="78"/>
        <v>1</v>
      </c>
      <c r="T1030" s="5">
        <f t="shared" si="79"/>
        <v>1</v>
      </c>
    </row>
    <row r="1031" spans="2:20" x14ac:dyDescent="0.25">
      <c r="B1031" t="s">
        <v>952</v>
      </c>
      <c r="I1031">
        <v>1</v>
      </c>
      <c r="J1031">
        <v>1</v>
      </c>
      <c r="K1031">
        <v>5</v>
      </c>
      <c r="L1031">
        <v>6</v>
      </c>
      <c r="M1031">
        <v>1</v>
      </c>
      <c r="N1031">
        <v>14</v>
      </c>
      <c r="O1031" s="1">
        <v>14</v>
      </c>
      <c r="P1031" s="11">
        <f t="shared" si="80"/>
        <v>1.2727272727272727</v>
      </c>
      <c r="Q1031" s="11">
        <f t="shared" ref="Q1031:Q1094" si="81">P1031/30</f>
        <v>4.2424242424242427E-2</v>
      </c>
      <c r="R1031" s="19">
        <f t="shared" ref="R1031:R1094" si="82">ODD(Q1031*14)</f>
        <v>1</v>
      </c>
      <c r="S1031" s="6">
        <f t="shared" ref="S1031:S1094" si="83">ODD(Q1031*10.5)</f>
        <v>1</v>
      </c>
      <c r="T1031" s="5">
        <f t="shared" ref="T1031:T1094" si="84">ODD(Q1031*7)</f>
        <v>1</v>
      </c>
    </row>
    <row r="1032" spans="2:20" x14ac:dyDescent="0.25">
      <c r="B1032" t="s">
        <v>734</v>
      </c>
      <c r="E1032">
        <v>1</v>
      </c>
      <c r="I1032">
        <v>1</v>
      </c>
      <c r="J1032">
        <v>1</v>
      </c>
      <c r="L1032">
        <v>1</v>
      </c>
      <c r="N1032">
        <v>4</v>
      </c>
      <c r="O1032" s="1">
        <v>4</v>
      </c>
      <c r="P1032" s="11">
        <f t="shared" si="80"/>
        <v>0.36363636363636365</v>
      </c>
      <c r="Q1032" s="11">
        <f t="shared" si="81"/>
        <v>1.2121212121212121E-2</v>
      </c>
      <c r="R1032" s="19">
        <f t="shared" si="82"/>
        <v>1</v>
      </c>
      <c r="S1032" s="6">
        <f t="shared" si="83"/>
        <v>1</v>
      </c>
      <c r="T1032" s="5">
        <f t="shared" si="84"/>
        <v>1</v>
      </c>
    </row>
    <row r="1033" spans="2:20" x14ac:dyDescent="0.25">
      <c r="B1033" t="s">
        <v>464</v>
      </c>
      <c r="C1033">
        <v>124</v>
      </c>
      <c r="D1033">
        <v>57</v>
      </c>
      <c r="E1033">
        <v>25</v>
      </c>
      <c r="F1033">
        <v>2</v>
      </c>
      <c r="G1033">
        <v>13</v>
      </c>
      <c r="H1033">
        <v>4</v>
      </c>
      <c r="I1033">
        <v>2</v>
      </c>
      <c r="J1033">
        <v>22</v>
      </c>
      <c r="L1033">
        <v>0</v>
      </c>
      <c r="M1033">
        <v>3</v>
      </c>
      <c r="N1033">
        <v>252</v>
      </c>
      <c r="O1033" s="1">
        <v>252</v>
      </c>
      <c r="P1033" s="11">
        <f t="shared" si="80"/>
        <v>22.90909090909091</v>
      </c>
      <c r="Q1033" s="11">
        <f t="shared" si="81"/>
        <v>0.76363636363636367</v>
      </c>
      <c r="R1033" s="19">
        <f t="shared" si="82"/>
        <v>11</v>
      </c>
      <c r="S1033" s="6">
        <f t="shared" si="83"/>
        <v>9</v>
      </c>
      <c r="T1033" s="5">
        <f t="shared" si="84"/>
        <v>7</v>
      </c>
    </row>
    <row r="1034" spans="2:20" x14ac:dyDescent="0.25">
      <c r="B1034" t="s">
        <v>735</v>
      </c>
      <c r="E1034">
        <v>1</v>
      </c>
      <c r="G1034">
        <v>1</v>
      </c>
      <c r="I1034">
        <v>1</v>
      </c>
      <c r="J1034">
        <v>2</v>
      </c>
      <c r="K1034">
        <v>1</v>
      </c>
      <c r="L1034">
        <v>3</v>
      </c>
      <c r="M1034">
        <v>3</v>
      </c>
      <c r="N1034">
        <v>12</v>
      </c>
      <c r="O1034" s="1">
        <v>12</v>
      </c>
      <c r="P1034" s="11">
        <f t="shared" si="80"/>
        <v>1.0909090909090908</v>
      </c>
      <c r="Q1034" s="11">
        <f t="shared" si="81"/>
        <v>3.6363636363636362E-2</v>
      </c>
      <c r="R1034" s="19">
        <f t="shared" si="82"/>
        <v>1</v>
      </c>
      <c r="S1034" s="6">
        <f t="shared" si="83"/>
        <v>1</v>
      </c>
      <c r="T1034" s="5">
        <f t="shared" si="84"/>
        <v>1</v>
      </c>
    </row>
    <row r="1035" spans="2:20" x14ac:dyDescent="0.25">
      <c r="B1035" t="s">
        <v>908</v>
      </c>
      <c r="H1035">
        <v>1</v>
      </c>
      <c r="N1035">
        <v>1</v>
      </c>
      <c r="O1035" s="1">
        <v>1</v>
      </c>
      <c r="P1035" s="11">
        <f t="shared" si="80"/>
        <v>9.0909090909090912E-2</v>
      </c>
      <c r="Q1035" s="11">
        <f t="shared" si="81"/>
        <v>3.0303030303030303E-3</v>
      </c>
      <c r="R1035" s="19">
        <f t="shared" si="82"/>
        <v>1</v>
      </c>
      <c r="S1035" s="6">
        <f t="shared" si="83"/>
        <v>1</v>
      </c>
      <c r="T1035" s="5">
        <f t="shared" si="84"/>
        <v>1</v>
      </c>
    </row>
    <row r="1036" spans="2:20" x14ac:dyDescent="0.25">
      <c r="B1036" t="s">
        <v>465</v>
      </c>
      <c r="C1036">
        <v>2</v>
      </c>
      <c r="D1036">
        <v>2</v>
      </c>
      <c r="N1036">
        <v>4</v>
      </c>
      <c r="O1036" s="1">
        <v>4</v>
      </c>
      <c r="P1036" s="11">
        <f t="shared" si="80"/>
        <v>0.36363636363636365</v>
      </c>
      <c r="Q1036" s="11">
        <f t="shared" si="81"/>
        <v>1.2121212121212121E-2</v>
      </c>
      <c r="R1036" s="19">
        <f t="shared" si="82"/>
        <v>1</v>
      </c>
      <c r="S1036" s="6">
        <f t="shared" si="83"/>
        <v>1</v>
      </c>
      <c r="T1036" s="5">
        <f t="shared" si="84"/>
        <v>1</v>
      </c>
    </row>
    <row r="1037" spans="2:20" x14ac:dyDescent="0.25">
      <c r="B1037" t="s">
        <v>466</v>
      </c>
      <c r="C1037">
        <v>2</v>
      </c>
      <c r="D1037">
        <v>1</v>
      </c>
      <c r="G1037">
        <v>2</v>
      </c>
      <c r="J1037">
        <v>1</v>
      </c>
      <c r="K1037">
        <v>1</v>
      </c>
      <c r="N1037">
        <v>7</v>
      </c>
      <c r="O1037" s="1">
        <v>7</v>
      </c>
      <c r="P1037" s="11">
        <f t="shared" si="80"/>
        <v>0.63636363636363635</v>
      </c>
      <c r="Q1037" s="11">
        <f t="shared" si="81"/>
        <v>2.1212121212121213E-2</v>
      </c>
      <c r="R1037" s="19">
        <f t="shared" si="82"/>
        <v>1</v>
      </c>
      <c r="S1037" s="6">
        <f t="shared" si="83"/>
        <v>1</v>
      </c>
      <c r="T1037" s="5">
        <f t="shared" si="84"/>
        <v>1</v>
      </c>
    </row>
    <row r="1038" spans="2:20" x14ac:dyDescent="0.25">
      <c r="B1038" t="s">
        <v>467</v>
      </c>
      <c r="C1038">
        <v>1</v>
      </c>
      <c r="G1038">
        <v>1</v>
      </c>
      <c r="N1038">
        <v>2</v>
      </c>
      <c r="O1038" s="1">
        <v>2</v>
      </c>
      <c r="P1038" s="11">
        <f t="shared" si="80"/>
        <v>0.18181818181818182</v>
      </c>
      <c r="Q1038" s="11">
        <f t="shared" si="81"/>
        <v>6.0606060606060606E-3</v>
      </c>
      <c r="R1038" s="19">
        <f t="shared" si="82"/>
        <v>1</v>
      </c>
      <c r="S1038" s="6">
        <f t="shared" si="83"/>
        <v>1</v>
      </c>
      <c r="T1038" s="5">
        <f t="shared" si="84"/>
        <v>1</v>
      </c>
    </row>
    <row r="1039" spans="2:20" x14ac:dyDescent="0.25">
      <c r="B1039" t="s">
        <v>736</v>
      </c>
      <c r="E1039">
        <v>25</v>
      </c>
      <c r="N1039">
        <v>25</v>
      </c>
      <c r="O1039" s="1">
        <v>25</v>
      </c>
      <c r="P1039" s="11">
        <f t="shared" si="80"/>
        <v>2.2727272727272729</v>
      </c>
      <c r="Q1039" s="11">
        <f t="shared" si="81"/>
        <v>7.575757575757576E-2</v>
      </c>
      <c r="R1039" s="19">
        <f t="shared" si="82"/>
        <v>3</v>
      </c>
      <c r="S1039" s="6">
        <f t="shared" si="83"/>
        <v>1</v>
      </c>
      <c r="T1039" s="5">
        <f t="shared" si="84"/>
        <v>1</v>
      </c>
    </row>
    <row r="1040" spans="2:20" x14ac:dyDescent="0.25">
      <c r="B1040" t="s">
        <v>468</v>
      </c>
      <c r="C1040">
        <v>1</v>
      </c>
      <c r="N1040">
        <v>1</v>
      </c>
      <c r="O1040" s="1">
        <v>1</v>
      </c>
      <c r="P1040" s="11">
        <f t="shared" si="80"/>
        <v>9.0909090909090912E-2</v>
      </c>
      <c r="Q1040" s="11">
        <f t="shared" si="81"/>
        <v>3.0303030303030303E-3</v>
      </c>
      <c r="R1040" s="19">
        <f t="shared" si="82"/>
        <v>1</v>
      </c>
      <c r="S1040" s="6">
        <f t="shared" si="83"/>
        <v>1</v>
      </c>
      <c r="T1040" s="5">
        <f t="shared" si="84"/>
        <v>1</v>
      </c>
    </row>
    <row r="1041" spans="2:20" x14ac:dyDescent="0.25">
      <c r="B1041" t="s">
        <v>633</v>
      </c>
      <c r="D1041">
        <v>2</v>
      </c>
      <c r="E1041">
        <v>2</v>
      </c>
      <c r="F1041">
        <v>2</v>
      </c>
      <c r="G1041">
        <v>2</v>
      </c>
      <c r="H1041">
        <v>4</v>
      </c>
      <c r="J1041">
        <v>2</v>
      </c>
      <c r="K1041">
        <v>3</v>
      </c>
      <c r="L1041">
        <v>3</v>
      </c>
      <c r="M1041">
        <v>1</v>
      </c>
      <c r="N1041">
        <v>21</v>
      </c>
      <c r="O1041" s="1">
        <v>21</v>
      </c>
      <c r="P1041" s="11">
        <f t="shared" si="80"/>
        <v>1.9090909090909092</v>
      </c>
      <c r="Q1041" s="11">
        <f t="shared" si="81"/>
        <v>6.3636363636363644E-2</v>
      </c>
      <c r="R1041" s="19">
        <f t="shared" si="82"/>
        <v>1</v>
      </c>
      <c r="S1041" s="6">
        <f t="shared" si="83"/>
        <v>1</v>
      </c>
      <c r="T1041" s="5">
        <f t="shared" si="84"/>
        <v>1</v>
      </c>
    </row>
    <row r="1042" spans="2:20" x14ac:dyDescent="0.25">
      <c r="B1042" t="s">
        <v>634</v>
      </c>
      <c r="D1042">
        <v>1</v>
      </c>
      <c r="E1042">
        <v>1</v>
      </c>
      <c r="H1042">
        <v>2</v>
      </c>
      <c r="K1042">
        <v>1</v>
      </c>
      <c r="L1042">
        <v>3</v>
      </c>
      <c r="M1042">
        <v>1</v>
      </c>
      <c r="N1042">
        <v>9</v>
      </c>
      <c r="O1042" s="1">
        <v>9</v>
      </c>
      <c r="P1042" s="11">
        <f t="shared" si="80"/>
        <v>0.81818181818181823</v>
      </c>
      <c r="Q1042" s="11">
        <f t="shared" si="81"/>
        <v>2.7272727272727275E-2</v>
      </c>
      <c r="R1042" s="19">
        <f t="shared" si="82"/>
        <v>1</v>
      </c>
      <c r="S1042" s="6">
        <f t="shared" si="83"/>
        <v>1</v>
      </c>
      <c r="T1042" s="5">
        <f t="shared" si="84"/>
        <v>1</v>
      </c>
    </row>
    <row r="1043" spans="2:20" x14ac:dyDescent="0.25">
      <c r="B1043" t="s">
        <v>1032</v>
      </c>
      <c r="K1043">
        <v>1</v>
      </c>
      <c r="L1043">
        <v>1</v>
      </c>
      <c r="N1043">
        <v>2</v>
      </c>
      <c r="O1043" s="1">
        <v>2</v>
      </c>
      <c r="P1043" s="11">
        <f t="shared" si="80"/>
        <v>0.18181818181818182</v>
      </c>
      <c r="Q1043" s="11">
        <f t="shared" si="81"/>
        <v>6.0606060606060606E-3</v>
      </c>
      <c r="R1043" s="19">
        <f t="shared" si="82"/>
        <v>1</v>
      </c>
      <c r="S1043" s="6">
        <f t="shared" si="83"/>
        <v>1</v>
      </c>
      <c r="T1043" s="5">
        <f t="shared" si="84"/>
        <v>1</v>
      </c>
    </row>
    <row r="1044" spans="2:20" x14ac:dyDescent="0.25">
      <c r="B1044" t="s">
        <v>469</v>
      </c>
      <c r="C1044">
        <v>1</v>
      </c>
      <c r="E1044">
        <v>1</v>
      </c>
      <c r="F1044">
        <v>2</v>
      </c>
      <c r="G1044">
        <v>1</v>
      </c>
      <c r="I1044">
        <v>1</v>
      </c>
      <c r="N1044">
        <v>6</v>
      </c>
      <c r="O1044" s="1">
        <v>6</v>
      </c>
      <c r="P1044" s="11">
        <f t="shared" si="80"/>
        <v>0.54545454545454541</v>
      </c>
      <c r="Q1044" s="11">
        <f t="shared" si="81"/>
        <v>1.8181818181818181E-2</v>
      </c>
      <c r="R1044" s="19">
        <f t="shared" si="82"/>
        <v>1</v>
      </c>
      <c r="S1044" s="6">
        <f t="shared" si="83"/>
        <v>1</v>
      </c>
      <c r="T1044" s="5">
        <f t="shared" si="84"/>
        <v>1</v>
      </c>
    </row>
    <row r="1045" spans="2:20" x14ac:dyDescent="0.25">
      <c r="B1045" t="s">
        <v>470</v>
      </c>
      <c r="C1045">
        <v>1</v>
      </c>
      <c r="E1045">
        <v>1</v>
      </c>
      <c r="G1045">
        <v>1</v>
      </c>
      <c r="H1045">
        <v>0</v>
      </c>
      <c r="J1045">
        <v>1</v>
      </c>
      <c r="K1045">
        <v>1</v>
      </c>
      <c r="L1045">
        <v>1</v>
      </c>
      <c r="N1045">
        <v>6</v>
      </c>
      <c r="O1045" s="1">
        <v>6</v>
      </c>
      <c r="P1045" s="11">
        <f t="shared" si="80"/>
        <v>0.54545454545454541</v>
      </c>
      <c r="Q1045" s="11">
        <f t="shared" si="81"/>
        <v>1.8181818181818181E-2</v>
      </c>
      <c r="R1045" s="19">
        <f t="shared" si="82"/>
        <v>1</v>
      </c>
      <c r="S1045" s="6">
        <f t="shared" si="83"/>
        <v>1</v>
      </c>
      <c r="T1045" s="5">
        <f t="shared" si="84"/>
        <v>1</v>
      </c>
    </row>
    <row r="1046" spans="2:20" x14ac:dyDescent="0.25">
      <c r="B1046" t="s">
        <v>471</v>
      </c>
      <c r="C1046">
        <v>1</v>
      </c>
      <c r="H1046">
        <v>1</v>
      </c>
      <c r="K1046">
        <v>1</v>
      </c>
      <c r="M1046">
        <v>1</v>
      </c>
      <c r="N1046">
        <v>4</v>
      </c>
      <c r="O1046" s="1">
        <v>4</v>
      </c>
      <c r="P1046" s="11">
        <f t="shared" si="80"/>
        <v>0.36363636363636365</v>
      </c>
      <c r="Q1046" s="11">
        <f t="shared" si="81"/>
        <v>1.2121212121212121E-2</v>
      </c>
      <c r="R1046" s="19">
        <f t="shared" si="82"/>
        <v>1</v>
      </c>
      <c r="S1046" s="6">
        <f t="shared" si="83"/>
        <v>1</v>
      </c>
      <c r="T1046" s="5">
        <f t="shared" si="84"/>
        <v>1</v>
      </c>
    </row>
    <row r="1047" spans="2:20" x14ac:dyDescent="0.25">
      <c r="B1047" t="s">
        <v>472</v>
      </c>
      <c r="C1047">
        <v>0</v>
      </c>
      <c r="D1047">
        <v>3</v>
      </c>
      <c r="E1047">
        <v>16</v>
      </c>
      <c r="F1047">
        <v>0</v>
      </c>
      <c r="G1047">
        <v>3</v>
      </c>
      <c r="H1047">
        <v>1</v>
      </c>
      <c r="I1047">
        <v>2</v>
      </c>
      <c r="J1047">
        <v>3</v>
      </c>
      <c r="K1047">
        <v>8</v>
      </c>
      <c r="L1047">
        <v>1</v>
      </c>
      <c r="N1047">
        <v>37</v>
      </c>
      <c r="O1047" s="1">
        <v>37</v>
      </c>
      <c r="P1047" s="11">
        <f t="shared" si="80"/>
        <v>3.3636363636363638</v>
      </c>
      <c r="Q1047" s="11">
        <f t="shared" si="81"/>
        <v>0.11212121212121212</v>
      </c>
      <c r="R1047" s="19">
        <f t="shared" si="82"/>
        <v>3</v>
      </c>
      <c r="S1047" s="6">
        <f t="shared" si="83"/>
        <v>3</v>
      </c>
      <c r="T1047" s="5">
        <f t="shared" si="84"/>
        <v>1</v>
      </c>
    </row>
    <row r="1048" spans="2:20" x14ac:dyDescent="0.25">
      <c r="B1048" t="s">
        <v>473</v>
      </c>
      <c r="C1048">
        <v>6</v>
      </c>
      <c r="D1048">
        <v>9</v>
      </c>
      <c r="E1048">
        <v>7</v>
      </c>
      <c r="F1048">
        <v>6</v>
      </c>
      <c r="G1048">
        <v>10</v>
      </c>
      <c r="H1048">
        <v>7</v>
      </c>
      <c r="I1048">
        <v>10</v>
      </c>
      <c r="J1048">
        <v>10</v>
      </c>
      <c r="K1048">
        <v>10</v>
      </c>
      <c r="L1048">
        <v>5</v>
      </c>
      <c r="M1048">
        <v>4</v>
      </c>
      <c r="N1048">
        <v>84</v>
      </c>
      <c r="O1048" s="1">
        <v>84</v>
      </c>
      <c r="P1048" s="11">
        <f t="shared" si="80"/>
        <v>7.6363636363636367</v>
      </c>
      <c r="Q1048" s="11">
        <f t="shared" si="81"/>
        <v>0.25454545454545457</v>
      </c>
      <c r="R1048" s="19">
        <f t="shared" si="82"/>
        <v>5</v>
      </c>
      <c r="S1048" s="6">
        <f t="shared" si="83"/>
        <v>3</v>
      </c>
      <c r="T1048" s="5">
        <f t="shared" si="84"/>
        <v>3</v>
      </c>
    </row>
    <row r="1049" spans="2:20" x14ac:dyDescent="0.25">
      <c r="B1049" t="s">
        <v>909</v>
      </c>
      <c r="H1049">
        <v>1</v>
      </c>
      <c r="L1049">
        <v>1</v>
      </c>
      <c r="N1049">
        <v>2</v>
      </c>
      <c r="O1049" s="1">
        <v>2</v>
      </c>
      <c r="P1049" s="11">
        <f t="shared" si="80"/>
        <v>0.18181818181818182</v>
      </c>
      <c r="Q1049" s="11">
        <f t="shared" si="81"/>
        <v>6.0606060606060606E-3</v>
      </c>
      <c r="R1049" s="19">
        <f t="shared" si="82"/>
        <v>1</v>
      </c>
      <c r="S1049" s="6">
        <f t="shared" si="83"/>
        <v>1</v>
      </c>
      <c r="T1049" s="5">
        <f t="shared" si="84"/>
        <v>1</v>
      </c>
    </row>
    <row r="1050" spans="2:20" x14ac:dyDescent="0.25">
      <c r="B1050" t="s">
        <v>474</v>
      </c>
      <c r="C1050">
        <v>1</v>
      </c>
      <c r="D1050">
        <v>1</v>
      </c>
      <c r="E1050">
        <v>2</v>
      </c>
      <c r="H1050">
        <v>1</v>
      </c>
      <c r="K1050">
        <v>1</v>
      </c>
      <c r="M1050">
        <v>1</v>
      </c>
      <c r="N1050">
        <v>7</v>
      </c>
      <c r="O1050" s="1">
        <v>7</v>
      </c>
      <c r="P1050" s="11">
        <f t="shared" si="80"/>
        <v>0.63636363636363635</v>
      </c>
      <c r="Q1050" s="11">
        <f t="shared" si="81"/>
        <v>2.1212121212121213E-2</v>
      </c>
      <c r="R1050" s="19">
        <f t="shared" si="82"/>
        <v>1</v>
      </c>
      <c r="S1050" s="6">
        <f t="shared" si="83"/>
        <v>1</v>
      </c>
      <c r="T1050" s="5">
        <f t="shared" si="84"/>
        <v>1</v>
      </c>
    </row>
    <row r="1051" spans="2:20" x14ac:dyDescent="0.25">
      <c r="B1051" t="s">
        <v>475</v>
      </c>
      <c r="C1051">
        <v>2</v>
      </c>
      <c r="N1051">
        <v>2</v>
      </c>
      <c r="O1051" s="1">
        <v>2</v>
      </c>
      <c r="P1051" s="11">
        <f t="shared" si="80"/>
        <v>0.18181818181818182</v>
      </c>
      <c r="Q1051" s="11">
        <f t="shared" si="81"/>
        <v>6.0606060606060606E-3</v>
      </c>
      <c r="R1051" s="19">
        <f t="shared" si="82"/>
        <v>1</v>
      </c>
      <c r="S1051" s="6">
        <f t="shared" si="83"/>
        <v>1</v>
      </c>
      <c r="T1051" s="5">
        <f t="shared" si="84"/>
        <v>1</v>
      </c>
    </row>
    <row r="1052" spans="2:20" x14ac:dyDescent="0.25">
      <c r="B1052" t="s">
        <v>476</v>
      </c>
      <c r="C1052">
        <v>69</v>
      </c>
      <c r="D1052">
        <v>71</v>
      </c>
      <c r="E1052">
        <v>57</v>
      </c>
      <c r="F1052">
        <v>79</v>
      </c>
      <c r="G1052">
        <v>41</v>
      </c>
      <c r="H1052">
        <v>65</v>
      </c>
      <c r="I1052">
        <v>54</v>
      </c>
      <c r="J1052">
        <v>58</v>
      </c>
      <c r="K1052">
        <v>52</v>
      </c>
      <c r="L1052">
        <v>52</v>
      </c>
      <c r="M1052">
        <v>59</v>
      </c>
      <c r="N1052">
        <v>657</v>
      </c>
      <c r="O1052" s="1">
        <v>657</v>
      </c>
      <c r="P1052" s="11">
        <f t="shared" si="80"/>
        <v>59.727272727272727</v>
      </c>
      <c r="Q1052" s="11">
        <f t="shared" si="81"/>
        <v>1.990909090909091</v>
      </c>
      <c r="R1052" s="19">
        <f t="shared" si="82"/>
        <v>29</v>
      </c>
      <c r="S1052" s="6">
        <f t="shared" si="83"/>
        <v>21</v>
      </c>
      <c r="T1052" s="5">
        <f t="shared" si="84"/>
        <v>15</v>
      </c>
    </row>
    <row r="1053" spans="2:20" x14ac:dyDescent="0.25">
      <c r="B1053" t="s">
        <v>1108</v>
      </c>
      <c r="M1053">
        <v>1</v>
      </c>
      <c r="N1053">
        <v>1</v>
      </c>
      <c r="O1053" s="1">
        <v>1</v>
      </c>
      <c r="P1053" s="11">
        <f t="shared" si="80"/>
        <v>9.0909090909090912E-2</v>
      </c>
      <c r="Q1053" s="11">
        <f t="shared" si="81"/>
        <v>3.0303030303030303E-3</v>
      </c>
      <c r="R1053" s="19">
        <f t="shared" si="82"/>
        <v>1</v>
      </c>
      <c r="S1053" s="6">
        <f t="shared" si="83"/>
        <v>1</v>
      </c>
      <c r="T1053" s="5">
        <f t="shared" si="84"/>
        <v>1</v>
      </c>
    </row>
    <row r="1054" spans="2:20" x14ac:dyDescent="0.25">
      <c r="B1054" t="s">
        <v>635</v>
      </c>
      <c r="D1054">
        <v>1</v>
      </c>
      <c r="N1054">
        <v>1</v>
      </c>
      <c r="O1054" s="1">
        <v>1</v>
      </c>
      <c r="P1054" s="11">
        <f t="shared" si="80"/>
        <v>9.0909090909090912E-2</v>
      </c>
      <c r="Q1054" s="11">
        <f t="shared" si="81"/>
        <v>3.0303030303030303E-3</v>
      </c>
      <c r="R1054" s="19">
        <f t="shared" si="82"/>
        <v>1</v>
      </c>
      <c r="S1054" s="6">
        <f t="shared" si="83"/>
        <v>1</v>
      </c>
      <c r="T1054" s="5">
        <f t="shared" si="84"/>
        <v>1</v>
      </c>
    </row>
    <row r="1055" spans="2:20" x14ac:dyDescent="0.25">
      <c r="B1055" t="s">
        <v>477</v>
      </c>
      <c r="C1055">
        <v>53</v>
      </c>
      <c r="D1055">
        <v>31</v>
      </c>
      <c r="E1055">
        <v>10</v>
      </c>
      <c r="F1055">
        <v>28</v>
      </c>
      <c r="G1055">
        <v>19</v>
      </c>
      <c r="H1055">
        <v>6</v>
      </c>
      <c r="I1055">
        <v>15</v>
      </c>
      <c r="J1055">
        <v>24</v>
      </c>
      <c r="K1055">
        <v>33</v>
      </c>
      <c r="L1055">
        <v>75</v>
      </c>
      <c r="M1055">
        <v>55</v>
      </c>
      <c r="N1055">
        <v>349</v>
      </c>
      <c r="O1055" s="1">
        <v>349</v>
      </c>
      <c r="P1055" s="11">
        <f t="shared" si="80"/>
        <v>31.727272727272727</v>
      </c>
      <c r="Q1055" s="11">
        <f t="shared" si="81"/>
        <v>1.0575757575757576</v>
      </c>
      <c r="R1055" s="19">
        <f t="shared" si="82"/>
        <v>15</v>
      </c>
      <c r="S1055" s="6">
        <f t="shared" si="83"/>
        <v>13</v>
      </c>
      <c r="T1055" s="5">
        <f t="shared" si="84"/>
        <v>9</v>
      </c>
    </row>
    <row r="1056" spans="2:20" x14ac:dyDescent="0.25">
      <c r="B1056" t="s">
        <v>478</v>
      </c>
      <c r="C1056">
        <v>10</v>
      </c>
      <c r="D1056">
        <v>8</v>
      </c>
      <c r="E1056">
        <v>5</v>
      </c>
      <c r="F1056">
        <v>2</v>
      </c>
      <c r="G1056">
        <v>6</v>
      </c>
      <c r="H1056">
        <v>12</v>
      </c>
      <c r="I1056">
        <v>3</v>
      </c>
      <c r="K1056">
        <v>1</v>
      </c>
      <c r="L1056">
        <v>4</v>
      </c>
      <c r="M1056">
        <v>6</v>
      </c>
      <c r="N1056">
        <v>57</v>
      </c>
      <c r="O1056" s="1">
        <v>57</v>
      </c>
      <c r="P1056" s="11">
        <f t="shared" si="80"/>
        <v>5.1818181818181817</v>
      </c>
      <c r="Q1056" s="11">
        <f t="shared" si="81"/>
        <v>0.17272727272727273</v>
      </c>
      <c r="R1056" s="19">
        <f t="shared" si="82"/>
        <v>3</v>
      </c>
      <c r="S1056" s="6">
        <f t="shared" si="83"/>
        <v>3</v>
      </c>
      <c r="T1056" s="5">
        <f t="shared" si="84"/>
        <v>3</v>
      </c>
    </row>
    <row r="1057" spans="2:20" x14ac:dyDescent="0.25">
      <c r="B1057" t="s">
        <v>737</v>
      </c>
      <c r="E1057">
        <v>1</v>
      </c>
      <c r="G1057">
        <v>2</v>
      </c>
      <c r="H1057">
        <v>1</v>
      </c>
      <c r="K1057">
        <v>1</v>
      </c>
      <c r="N1057">
        <v>5</v>
      </c>
      <c r="O1057" s="1">
        <v>5</v>
      </c>
      <c r="P1057" s="11">
        <f t="shared" si="80"/>
        <v>0.45454545454545453</v>
      </c>
      <c r="Q1057" s="11">
        <f t="shared" si="81"/>
        <v>1.515151515151515E-2</v>
      </c>
      <c r="R1057" s="19">
        <f t="shared" si="82"/>
        <v>1</v>
      </c>
      <c r="S1057" s="6">
        <f t="shared" si="83"/>
        <v>1</v>
      </c>
      <c r="T1057" s="5">
        <f t="shared" si="84"/>
        <v>1</v>
      </c>
    </row>
    <row r="1058" spans="2:20" x14ac:dyDescent="0.25">
      <c r="B1058" t="s">
        <v>807</v>
      </c>
      <c r="F1058">
        <v>1</v>
      </c>
      <c r="N1058">
        <v>1</v>
      </c>
      <c r="O1058" s="1">
        <v>1</v>
      </c>
      <c r="P1058" s="11">
        <f t="shared" si="80"/>
        <v>9.0909090909090912E-2</v>
      </c>
      <c r="Q1058" s="11">
        <f t="shared" si="81"/>
        <v>3.0303030303030303E-3</v>
      </c>
      <c r="R1058" s="19">
        <f t="shared" si="82"/>
        <v>1</v>
      </c>
      <c r="S1058" s="6">
        <f t="shared" si="83"/>
        <v>1</v>
      </c>
      <c r="T1058" s="5">
        <f t="shared" si="84"/>
        <v>1</v>
      </c>
    </row>
    <row r="1059" spans="2:20" x14ac:dyDescent="0.25">
      <c r="B1059" t="s">
        <v>479</v>
      </c>
      <c r="C1059">
        <v>1</v>
      </c>
      <c r="G1059">
        <v>1</v>
      </c>
      <c r="H1059">
        <v>1</v>
      </c>
      <c r="I1059">
        <v>2</v>
      </c>
      <c r="J1059">
        <v>4</v>
      </c>
      <c r="N1059">
        <v>9</v>
      </c>
      <c r="O1059" s="1">
        <v>9</v>
      </c>
      <c r="P1059" s="11">
        <f t="shared" si="80"/>
        <v>0.81818181818181823</v>
      </c>
      <c r="Q1059" s="11">
        <f t="shared" si="81"/>
        <v>2.7272727272727275E-2</v>
      </c>
      <c r="R1059" s="19">
        <f t="shared" si="82"/>
        <v>1</v>
      </c>
      <c r="S1059" s="6">
        <f t="shared" si="83"/>
        <v>1</v>
      </c>
      <c r="T1059" s="5">
        <f t="shared" si="84"/>
        <v>1</v>
      </c>
    </row>
    <row r="1060" spans="2:20" x14ac:dyDescent="0.25">
      <c r="B1060" t="s">
        <v>480</v>
      </c>
      <c r="C1060">
        <v>6</v>
      </c>
      <c r="F1060">
        <v>3</v>
      </c>
      <c r="G1060">
        <v>3</v>
      </c>
      <c r="H1060">
        <v>1</v>
      </c>
      <c r="I1060">
        <v>5</v>
      </c>
      <c r="J1060">
        <v>12</v>
      </c>
      <c r="K1060">
        <v>4</v>
      </c>
      <c r="L1060">
        <v>10</v>
      </c>
      <c r="M1060">
        <v>4</v>
      </c>
      <c r="N1060">
        <v>48</v>
      </c>
      <c r="O1060" s="1">
        <v>48</v>
      </c>
      <c r="P1060" s="11">
        <f t="shared" si="80"/>
        <v>4.3636363636363633</v>
      </c>
      <c r="Q1060" s="11">
        <f t="shared" si="81"/>
        <v>0.14545454545454545</v>
      </c>
      <c r="R1060" s="19">
        <f t="shared" si="82"/>
        <v>3</v>
      </c>
      <c r="S1060" s="6">
        <f t="shared" si="83"/>
        <v>3</v>
      </c>
      <c r="T1060" s="5">
        <f t="shared" si="84"/>
        <v>3</v>
      </c>
    </row>
    <row r="1061" spans="2:20" x14ac:dyDescent="0.25">
      <c r="B1061" t="s">
        <v>481</v>
      </c>
      <c r="C1061">
        <v>1</v>
      </c>
      <c r="D1061">
        <v>4</v>
      </c>
      <c r="E1061">
        <v>2</v>
      </c>
      <c r="F1061">
        <v>2</v>
      </c>
      <c r="I1061">
        <v>2</v>
      </c>
      <c r="K1061">
        <v>3</v>
      </c>
      <c r="N1061">
        <v>14</v>
      </c>
      <c r="O1061" s="1">
        <v>14</v>
      </c>
      <c r="P1061" s="11">
        <f t="shared" si="80"/>
        <v>1.2727272727272727</v>
      </c>
      <c r="Q1061" s="11">
        <f t="shared" si="81"/>
        <v>4.2424242424242427E-2</v>
      </c>
      <c r="R1061" s="19">
        <f t="shared" si="82"/>
        <v>1</v>
      </c>
      <c r="S1061" s="6">
        <f t="shared" si="83"/>
        <v>1</v>
      </c>
      <c r="T1061" s="5">
        <f t="shared" si="84"/>
        <v>1</v>
      </c>
    </row>
    <row r="1062" spans="2:20" x14ac:dyDescent="0.25">
      <c r="B1062" t="s">
        <v>482</v>
      </c>
      <c r="C1062">
        <v>4</v>
      </c>
      <c r="D1062">
        <v>3</v>
      </c>
      <c r="F1062">
        <v>2</v>
      </c>
      <c r="G1062">
        <v>2</v>
      </c>
      <c r="J1062">
        <v>1</v>
      </c>
      <c r="K1062">
        <v>2</v>
      </c>
      <c r="M1062">
        <v>1</v>
      </c>
      <c r="N1062">
        <v>15</v>
      </c>
      <c r="O1062" s="1">
        <v>15</v>
      </c>
      <c r="P1062" s="11">
        <f t="shared" si="80"/>
        <v>1.3636363636363635</v>
      </c>
      <c r="Q1062" s="11">
        <f t="shared" si="81"/>
        <v>4.5454545454545449E-2</v>
      </c>
      <c r="R1062" s="19">
        <f t="shared" si="82"/>
        <v>1</v>
      </c>
      <c r="S1062" s="6">
        <f t="shared" si="83"/>
        <v>1</v>
      </c>
      <c r="T1062" s="5">
        <f t="shared" si="84"/>
        <v>1</v>
      </c>
    </row>
    <row r="1063" spans="2:20" x14ac:dyDescent="0.25">
      <c r="B1063" t="s">
        <v>986</v>
      </c>
      <c r="J1063">
        <v>1</v>
      </c>
      <c r="M1063">
        <v>2</v>
      </c>
      <c r="N1063">
        <v>3</v>
      </c>
      <c r="O1063" s="1">
        <v>3</v>
      </c>
      <c r="P1063" s="11">
        <f t="shared" si="80"/>
        <v>0.27272727272727271</v>
      </c>
      <c r="Q1063" s="11">
        <f t="shared" si="81"/>
        <v>9.0909090909090905E-3</v>
      </c>
      <c r="R1063" s="19">
        <f t="shared" si="82"/>
        <v>1</v>
      </c>
      <c r="S1063" s="6">
        <f t="shared" si="83"/>
        <v>1</v>
      </c>
      <c r="T1063" s="5">
        <f t="shared" si="84"/>
        <v>1</v>
      </c>
    </row>
    <row r="1064" spans="2:20" x14ac:dyDescent="0.25">
      <c r="B1064" t="s">
        <v>953</v>
      </c>
      <c r="I1064">
        <v>3</v>
      </c>
      <c r="N1064">
        <v>3</v>
      </c>
      <c r="O1064" s="1">
        <v>3</v>
      </c>
      <c r="P1064" s="11">
        <f t="shared" si="80"/>
        <v>0.27272727272727271</v>
      </c>
      <c r="Q1064" s="11">
        <f t="shared" si="81"/>
        <v>9.0909090909090905E-3</v>
      </c>
      <c r="R1064" s="19">
        <f t="shared" si="82"/>
        <v>1</v>
      </c>
      <c r="S1064" s="6">
        <f t="shared" si="83"/>
        <v>1</v>
      </c>
      <c r="T1064" s="5">
        <f t="shared" si="84"/>
        <v>1</v>
      </c>
    </row>
    <row r="1065" spans="2:20" x14ac:dyDescent="0.25">
      <c r="B1065" t="s">
        <v>483</v>
      </c>
      <c r="C1065">
        <v>2</v>
      </c>
      <c r="D1065">
        <v>1</v>
      </c>
      <c r="E1065">
        <v>2</v>
      </c>
      <c r="F1065">
        <v>4</v>
      </c>
      <c r="H1065">
        <v>1</v>
      </c>
      <c r="I1065">
        <v>2</v>
      </c>
      <c r="J1065">
        <v>3</v>
      </c>
      <c r="K1065">
        <v>7</v>
      </c>
      <c r="L1065">
        <v>2</v>
      </c>
      <c r="M1065">
        <v>1</v>
      </c>
      <c r="N1065">
        <v>25</v>
      </c>
      <c r="O1065" s="1">
        <v>25</v>
      </c>
      <c r="P1065" s="11">
        <f t="shared" si="80"/>
        <v>2.2727272727272729</v>
      </c>
      <c r="Q1065" s="11">
        <f t="shared" si="81"/>
        <v>7.575757575757576E-2</v>
      </c>
      <c r="R1065" s="19">
        <f t="shared" si="82"/>
        <v>3</v>
      </c>
      <c r="S1065" s="6">
        <f t="shared" si="83"/>
        <v>1</v>
      </c>
      <c r="T1065" s="5">
        <f t="shared" si="84"/>
        <v>1</v>
      </c>
    </row>
    <row r="1066" spans="2:20" x14ac:dyDescent="0.25">
      <c r="B1066" t="s">
        <v>738</v>
      </c>
      <c r="E1066">
        <v>2</v>
      </c>
      <c r="G1066">
        <v>2</v>
      </c>
      <c r="I1066">
        <v>1</v>
      </c>
      <c r="J1066">
        <v>1</v>
      </c>
      <c r="M1066">
        <v>1</v>
      </c>
      <c r="N1066">
        <v>7</v>
      </c>
      <c r="O1066" s="1">
        <v>7</v>
      </c>
      <c r="P1066" s="11">
        <f t="shared" si="80"/>
        <v>0.63636363636363635</v>
      </c>
      <c r="Q1066" s="11">
        <f t="shared" si="81"/>
        <v>2.1212121212121213E-2</v>
      </c>
      <c r="R1066" s="19">
        <f t="shared" si="82"/>
        <v>1</v>
      </c>
      <c r="S1066" s="6">
        <f t="shared" si="83"/>
        <v>1</v>
      </c>
      <c r="T1066" s="5">
        <f t="shared" si="84"/>
        <v>1</v>
      </c>
    </row>
    <row r="1067" spans="2:20" x14ac:dyDescent="0.25">
      <c r="B1067" t="s">
        <v>484</v>
      </c>
      <c r="C1067">
        <v>2</v>
      </c>
      <c r="D1067">
        <v>1</v>
      </c>
      <c r="E1067">
        <v>1</v>
      </c>
      <c r="L1067">
        <v>2</v>
      </c>
      <c r="N1067">
        <v>6</v>
      </c>
      <c r="O1067" s="1">
        <v>6</v>
      </c>
      <c r="P1067" s="11">
        <f t="shared" si="80"/>
        <v>0.54545454545454541</v>
      </c>
      <c r="Q1067" s="11">
        <f t="shared" si="81"/>
        <v>1.8181818181818181E-2</v>
      </c>
      <c r="R1067" s="19">
        <f t="shared" si="82"/>
        <v>1</v>
      </c>
      <c r="S1067" s="6">
        <f t="shared" si="83"/>
        <v>1</v>
      </c>
      <c r="T1067" s="5">
        <f t="shared" si="84"/>
        <v>1</v>
      </c>
    </row>
    <row r="1068" spans="2:20" x14ac:dyDescent="0.25">
      <c r="B1068" t="s">
        <v>910</v>
      </c>
      <c r="H1068">
        <v>2</v>
      </c>
      <c r="N1068">
        <v>2</v>
      </c>
      <c r="O1068" s="1">
        <v>2</v>
      </c>
      <c r="P1068" s="11">
        <f t="shared" si="80"/>
        <v>0.18181818181818182</v>
      </c>
      <c r="Q1068" s="11">
        <f t="shared" si="81"/>
        <v>6.0606060606060606E-3</v>
      </c>
      <c r="R1068" s="19">
        <f t="shared" si="82"/>
        <v>1</v>
      </c>
      <c r="S1068" s="6">
        <f t="shared" si="83"/>
        <v>1</v>
      </c>
      <c r="T1068" s="5">
        <f t="shared" si="84"/>
        <v>1</v>
      </c>
    </row>
    <row r="1069" spans="2:20" x14ac:dyDescent="0.25">
      <c r="B1069" t="s">
        <v>485</v>
      </c>
      <c r="C1069">
        <v>2</v>
      </c>
      <c r="G1069">
        <v>1</v>
      </c>
      <c r="H1069">
        <v>1</v>
      </c>
      <c r="L1069">
        <v>1</v>
      </c>
      <c r="N1069">
        <v>5</v>
      </c>
      <c r="O1069" s="1">
        <v>5</v>
      </c>
      <c r="P1069" s="11">
        <f t="shared" si="80"/>
        <v>0.45454545454545453</v>
      </c>
      <c r="Q1069" s="11">
        <f t="shared" si="81"/>
        <v>1.515151515151515E-2</v>
      </c>
      <c r="R1069" s="19">
        <f t="shared" si="82"/>
        <v>1</v>
      </c>
      <c r="S1069" s="6">
        <f t="shared" si="83"/>
        <v>1</v>
      </c>
      <c r="T1069" s="5">
        <f t="shared" si="84"/>
        <v>1</v>
      </c>
    </row>
    <row r="1070" spans="2:20" x14ac:dyDescent="0.25">
      <c r="B1070" t="s">
        <v>486</v>
      </c>
      <c r="C1070">
        <v>2</v>
      </c>
      <c r="D1070">
        <v>5</v>
      </c>
      <c r="I1070">
        <v>3</v>
      </c>
      <c r="J1070">
        <v>1</v>
      </c>
      <c r="K1070">
        <v>4</v>
      </c>
      <c r="L1070">
        <v>3</v>
      </c>
      <c r="M1070">
        <v>2</v>
      </c>
      <c r="N1070">
        <v>20</v>
      </c>
      <c r="O1070" s="1">
        <v>20</v>
      </c>
      <c r="P1070" s="11">
        <f t="shared" si="80"/>
        <v>1.8181818181818181</v>
      </c>
      <c r="Q1070" s="11">
        <f t="shared" si="81"/>
        <v>6.0606060606060601E-2</v>
      </c>
      <c r="R1070" s="19">
        <f t="shared" si="82"/>
        <v>1</v>
      </c>
      <c r="S1070" s="6">
        <f t="shared" si="83"/>
        <v>1</v>
      </c>
      <c r="T1070" s="5">
        <f t="shared" si="84"/>
        <v>1</v>
      </c>
    </row>
    <row r="1071" spans="2:20" x14ac:dyDescent="0.25">
      <c r="B1071" t="s">
        <v>636</v>
      </c>
      <c r="D1071">
        <v>1</v>
      </c>
      <c r="K1071">
        <v>1</v>
      </c>
      <c r="N1071">
        <v>2</v>
      </c>
      <c r="O1071" s="1">
        <v>2</v>
      </c>
      <c r="P1071" s="11">
        <f t="shared" si="80"/>
        <v>0.18181818181818182</v>
      </c>
      <c r="Q1071" s="11">
        <f t="shared" si="81"/>
        <v>6.0606060606060606E-3</v>
      </c>
      <c r="R1071" s="19">
        <f t="shared" si="82"/>
        <v>1</v>
      </c>
      <c r="S1071" s="6">
        <f t="shared" si="83"/>
        <v>1</v>
      </c>
      <c r="T1071" s="5">
        <f t="shared" si="84"/>
        <v>1</v>
      </c>
    </row>
    <row r="1072" spans="2:20" x14ac:dyDescent="0.25">
      <c r="B1072" t="s">
        <v>487</v>
      </c>
      <c r="C1072">
        <v>2</v>
      </c>
      <c r="D1072">
        <v>1</v>
      </c>
      <c r="F1072">
        <v>2</v>
      </c>
      <c r="I1072">
        <v>3</v>
      </c>
      <c r="K1072">
        <v>1</v>
      </c>
      <c r="L1072">
        <v>1</v>
      </c>
      <c r="M1072">
        <v>1</v>
      </c>
      <c r="N1072">
        <v>11</v>
      </c>
      <c r="O1072" s="1">
        <v>11</v>
      </c>
      <c r="P1072" s="11">
        <f t="shared" si="80"/>
        <v>1</v>
      </c>
      <c r="Q1072" s="11">
        <f t="shared" si="81"/>
        <v>3.3333333333333333E-2</v>
      </c>
      <c r="R1072" s="19">
        <f t="shared" si="82"/>
        <v>1</v>
      </c>
      <c r="S1072" s="6">
        <f t="shared" si="83"/>
        <v>1</v>
      </c>
      <c r="T1072" s="5">
        <f t="shared" si="84"/>
        <v>1</v>
      </c>
    </row>
    <row r="1073" spans="2:20" x14ac:dyDescent="0.25">
      <c r="B1073" t="s">
        <v>488</v>
      </c>
      <c r="C1073">
        <v>2</v>
      </c>
      <c r="D1073">
        <v>1</v>
      </c>
      <c r="E1073">
        <v>3</v>
      </c>
      <c r="F1073">
        <v>1</v>
      </c>
      <c r="G1073">
        <v>1</v>
      </c>
      <c r="K1073">
        <v>4</v>
      </c>
      <c r="M1073">
        <v>2</v>
      </c>
      <c r="N1073">
        <v>14</v>
      </c>
      <c r="O1073" s="1">
        <v>14</v>
      </c>
      <c r="P1073" s="11">
        <f t="shared" si="80"/>
        <v>1.2727272727272727</v>
      </c>
      <c r="Q1073" s="11">
        <f t="shared" si="81"/>
        <v>4.2424242424242427E-2</v>
      </c>
      <c r="R1073" s="19">
        <f t="shared" si="82"/>
        <v>1</v>
      </c>
      <c r="S1073" s="6">
        <f t="shared" si="83"/>
        <v>1</v>
      </c>
      <c r="T1073" s="5">
        <f t="shared" si="84"/>
        <v>1</v>
      </c>
    </row>
    <row r="1074" spans="2:20" x14ac:dyDescent="0.25">
      <c r="B1074" t="s">
        <v>637</v>
      </c>
      <c r="D1074">
        <v>3</v>
      </c>
      <c r="J1074">
        <v>3</v>
      </c>
      <c r="N1074">
        <v>6</v>
      </c>
      <c r="O1074" s="1">
        <v>6</v>
      </c>
      <c r="P1074" s="11">
        <f t="shared" si="80"/>
        <v>0.54545454545454541</v>
      </c>
      <c r="Q1074" s="11">
        <f t="shared" si="81"/>
        <v>1.8181818181818181E-2</v>
      </c>
      <c r="R1074" s="19">
        <f t="shared" si="82"/>
        <v>1</v>
      </c>
      <c r="S1074" s="6">
        <f t="shared" si="83"/>
        <v>1</v>
      </c>
      <c r="T1074" s="5">
        <f t="shared" si="84"/>
        <v>1</v>
      </c>
    </row>
    <row r="1075" spans="2:20" x14ac:dyDescent="0.25">
      <c r="B1075" t="s">
        <v>489</v>
      </c>
      <c r="C1075">
        <v>1</v>
      </c>
      <c r="E1075">
        <v>1</v>
      </c>
      <c r="G1075">
        <v>1</v>
      </c>
      <c r="H1075">
        <v>4</v>
      </c>
      <c r="I1075">
        <v>2</v>
      </c>
      <c r="J1075">
        <v>5</v>
      </c>
      <c r="K1075">
        <v>6</v>
      </c>
      <c r="L1075">
        <v>4</v>
      </c>
      <c r="M1075">
        <v>2</v>
      </c>
      <c r="N1075">
        <v>26</v>
      </c>
      <c r="O1075" s="1">
        <v>26</v>
      </c>
      <c r="P1075" s="11">
        <f t="shared" si="80"/>
        <v>2.3636363636363638</v>
      </c>
      <c r="Q1075" s="11">
        <f t="shared" si="81"/>
        <v>7.8787878787878796E-2</v>
      </c>
      <c r="R1075" s="19">
        <f t="shared" si="82"/>
        <v>3</v>
      </c>
      <c r="S1075" s="6">
        <f t="shared" si="83"/>
        <v>1</v>
      </c>
      <c r="T1075" s="5">
        <f t="shared" si="84"/>
        <v>1</v>
      </c>
    </row>
    <row r="1076" spans="2:20" x14ac:dyDescent="0.25">
      <c r="B1076" t="s">
        <v>1076</v>
      </c>
      <c r="L1076">
        <v>1</v>
      </c>
      <c r="N1076">
        <v>1</v>
      </c>
      <c r="O1076" s="1">
        <v>1</v>
      </c>
      <c r="P1076" s="11">
        <f t="shared" si="80"/>
        <v>9.0909090909090912E-2</v>
      </c>
      <c r="Q1076" s="11">
        <f t="shared" si="81"/>
        <v>3.0303030303030303E-3</v>
      </c>
      <c r="R1076" s="19">
        <f t="shared" si="82"/>
        <v>1</v>
      </c>
      <c r="S1076" s="6">
        <f t="shared" si="83"/>
        <v>1</v>
      </c>
      <c r="T1076" s="5">
        <f t="shared" si="84"/>
        <v>1</v>
      </c>
    </row>
    <row r="1077" spans="2:20" x14ac:dyDescent="0.25">
      <c r="B1077" t="s">
        <v>638</v>
      </c>
      <c r="D1077">
        <v>1</v>
      </c>
      <c r="N1077">
        <v>1</v>
      </c>
      <c r="O1077" s="1">
        <v>1</v>
      </c>
      <c r="P1077" s="11">
        <f t="shared" si="80"/>
        <v>9.0909090909090912E-2</v>
      </c>
      <c r="Q1077" s="11">
        <f t="shared" si="81"/>
        <v>3.0303030303030303E-3</v>
      </c>
      <c r="R1077" s="19">
        <f t="shared" si="82"/>
        <v>1</v>
      </c>
      <c r="S1077" s="6">
        <f t="shared" si="83"/>
        <v>1</v>
      </c>
      <c r="T1077" s="5">
        <f t="shared" si="84"/>
        <v>1</v>
      </c>
    </row>
    <row r="1078" spans="2:20" x14ac:dyDescent="0.25">
      <c r="B1078" t="s">
        <v>639</v>
      </c>
      <c r="D1078">
        <v>1</v>
      </c>
      <c r="F1078">
        <v>1</v>
      </c>
      <c r="N1078">
        <v>2</v>
      </c>
      <c r="O1078" s="1">
        <v>2</v>
      </c>
      <c r="P1078" s="11">
        <f t="shared" si="80"/>
        <v>0.18181818181818182</v>
      </c>
      <c r="Q1078" s="11">
        <f t="shared" si="81"/>
        <v>6.0606060606060606E-3</v>
      </c>
      <c r="R1078" s="19">
        <f t="shared" si="82"/>
        <v>1</v>
      </c>
      <c r="S1078" s="6">
        <f t="shared" si="83"/>
        <v>1</v>
      </c>
      <c r="T1078" s="5">
        <f t="shared" si="84"/>
        <v>1</v>
      </c>
    </row>
    <row r="1079" spans="2:20" x14ac:dyDescent="0.25">
      <c r="B1079" t="s">
        <v>808</v>
      </c>
      <c r="F1079">
        <v>2</v>
      </c>
      <c r="G1079">
        <v>22</v>
      </c>
      <c r="K1079">
        <v>7</v>
      </c>
      <c r="N1079">
        <v>31</v>
      </c>
      <c r="O1079" s="1">
        <v>31</v>
      </c>
      <c r="P1079" s="11">
        <f t="shared" si="80"/>
        <v>2.8181818181818183</v>
      </c>
      <c r="Q1079" s="11">
        <f t="shared" si="81"/>
        <v>9.3939393939393948E-2</v>
      </c>
      <c r="R1079" s="19">
        <f t="shared" si="82"/>
        <v>3</v>
      </c>
      <c r="S1079" s="6">
        <f t="shared" si="83"/>
        <v>1</v>
      </c>
      <c r="T1079" s="5">
        <f t="shared" si="84"/>
        <v>1</v>
      </c>
    </row>
    <row r="1080" spans="2:20" x14ac:dyDescent="0.25">
      <c r="B1080" t="s">
        <v>911</v>
      </c>
      <c r="H1080">
        <v>1</v>
      </c>
      <c r="N1080">
        <v>1</v>
      </c>
      <c r="O1080" s="1">
        <v>1</v>
      </c>
      <c r="P1080" s="11">
        <f t="shared" si="80"/>
        <v>9.0909090909090912E-2</v>
      </c>
      <c r="Q1080" s="11">
        <f t="shared" si="81"/>
        <v>3.0303030303030303E-3</v>
      </c>
      <c r="R1080" s="19">
        <f t="shared" si="82"/>
        <v>1</v>
      </c>
      <c r="S1080" s="6">
        <f t="shared" si="83"/>
        <v>1</v>
      </c>
      <c r="T1080" s="5">
        <f t="shared" si="84"/>
        <v>1</v>
      </c>
    </row>
    <row r="1081" spans="2:20" x14ac:dyDescent="0.25">
      <c r="B1081" t="s">
        <v>490</v>
      </c>
      <c r="C1081">
        <v>1</v>
      </c>
      <c r="D1081">
        <v>1</v>
      </c>
      <c r="G1081">
        <v>2</v>
      </c>
      <c r="J1081">
        <v>2</v>
      </c>
      <c r="N1081">
        <v>6</v>
      </c>
      <c r="O1081" s="1">
        <v>6</v>
      </c>
      <c r="P1081" s="11">
        <f t="shared" si="80"/>
        <v>0.54545454545454541</v>
      </c>
      <c r="Q1081" s="11">
        <f t="shared" si="81"/>
        <v>1.8181818181818181E-2</v>
      </c>
      <c r="R1081" s="19">
        <f t="shared" si="82"/>
        <v>1</v>
      </c>
      <c r="S1081" s="6">
        <f t="shared" si="83"/>
        <v>1</v>
      </c>
      <c r="T1081" s="5">
        <f t="shared" si="84"/>
        <v>1</v>
      </c>
    </row>
    <row r="1082" spans="2:20" x14ac:dyDescent="0.25">
      <c r="B1082" t="s">
        <v>491</v>
      </c>
      <c r="C1082">
        <v>32</v>
      </c>
      <c r="D1082">
        <v>25</v>
      </c>
      <c r="E1082">
        <v>12</v>
      </c>
      <c r="F1082">
        <v>3</v>
      </c>
      <c r="G1082">
        <v>5</v>
      </c>
      <c r="H1082">
        <v>3</v>
      </c>
      <c r="I1082">
        <v>6</v>
      </c>
      <c r="J1082">
        <v>7</v>
      </c>
      <c r="K1082">
        <v>8</v>
      </c>
      <c r="L1082">
        <v>7</v>
      </c>
      <c r="M1082">
        <v>18</v>
      </c>
      <c r="N1082">
        <v>126</v>
      </c>
      <c r="O1082" s="1">
        <v>126</v>
      </c>
      <c r="P1082" s="11">
        <f t="shared" si="80"/>
        <v>11.454545454545455</v>
      </c>
      <c r="Q1082" s="11">
        <f t="shared" si="81"/>
        <v>0.38181818181818183</v>
      </c>
      <c r="R1082" s="19">
        <f t="shared" si="82"/>
        <v>7</v>
      </c>
      <c r="S1082" s="6">
        <f t="shared" si="83"/>
        <v>5</v>
      </c>
      <c r="T1082" s="5">
        <f t="shared" si="84"/>
        <v>3</v>
      </c>
    </row>
    <row r="1083" spans="2:20" x14ac:dyDescent="0.25">
      <c r="B1083" t="s">
        <v>492</v>
      </c>
      <c r="C1083">
        <v>43</v>
      </c>
      <c r="D1083">
        <v>13</v>
      </c>
      <c r="E1083">
        <v>4</v>
      </c>
      <c r="H1083">
        <v>4</v>
      </c>
      <c r="I1083">
        <v>0</v>
      </c>
      <c r="K1083">
        <v>1</v>
      </c>
      <c r="N1083">
        <v>65</v>
      </c>
      <c r="O1083" s="1">
        <v>65</v>
      </c>
      <c r="P1083" s="11">
        <f t="shared" si="80"/>
        <v>5.9090909090909092</v>
      </c>
      <c r="Q1083" s="11">
        <f t="shared" si="81"/>
        <v>0.19696969696969696</v>
      </c>
      <c r="R1083" s="19">
        <f t="shared" si="82"/>
        <v>3</v>
      </c>
      <c r="S1083" s="6">
        <f t="shared" si="83"/>
        <v>3</v>
      </c>
      <c r="T1083" s="5">
        <f t="shared" si="84"/>
        <v>3</v>
      </c>
    </row>
    <row r="1084" spans="2:20" x14ac:dyDescent="0.25">
      <c r="B1084" t="s">
        <v>493</v>
      </c>
      <c r="C1084">
        <v>1</v>
      </c>
      <c r="D1084">
        <v>1</v>
      </c>
      <c r="N1084">
        <v>2</v>
      </c>
      <c r="O1084" s="1">
        <v>2</v>
      </c>
      <c r="P1084" s="11">
        <f t="shared" si="80"/>
        <v>0.18181818181818182</v>
      </c>
      <c r="Q1084" s="11">
        <f t="shared" si="81"/>
        <v>6.0606060606060606E-3</v>
      </c>
      <c r="R1084" s="19">
        <f t="shared" si="82"/>
        <v>1</v>
      </c>
      <c r="S1084" s="6">
        <f t="shared" si="83"/>
        <v>1</v>
      </c>
      <c r="T1084" s="5">
        <f t="shared" si="84"/>
        <v>1</v>
      </c>
    </row>
    <row r="1085" spans="2:20" x14ac:dyDescent="0.25">
      <c r="B1085" t="s">
        <v>987</v>
      </c>
      <c r="J1085">
        <v>1</v>
      </c>
      <c r="N1085">
        <v>1</v>
      </c>
      <c r="O1085" s="1">
        <v>1</v>
      </c>
      <c r="P1085" s="11">
        <f t="shared" si="80"/>
        <v>9.0909090909090912E-2</v>
      </c>
      <c r="Q1085" s="11">
        <f t="shared" si="81"/>
        <v>3.0303030303030303E-3</v>
      </c>
      <c r="R1085" s="19">
        <f t="shared" si="82"/>
        <v>1</v>
      </c>
      <c r="S1085" s="6">
        <f t="shared" si="83"/>
        <v>1</v>
      </c>
      <c r="T1085" s="5">
        <f t="shared" si="84"/>
        <v>1</v>
      </c>
    </row>
    <row r="1086" spans="2:20" x14ac:dyDescent="0.25">
      <c r="B1086" t="s">
        <v>640</v>
      </c>
      <c r="D1086">
        <v>1</v>
      </c>
      <c r="K1086">
        <v>2</v>
      </c>
      <c r="L1086">
        <v>1</v>
      </c>
      <c r="N1086">
        <v>4</v>
      </c>
      <c r="O1086" s="1">
        <v>4</v>
      </c>
      <c r="P1086" s="11">
        <f t="shared" si="80"/>
        <v>0.36363636363636365</v>
      </c>
      <c r="Q1086" s="11">
        <f t="shared" si="81"/>
        <v>1.2121212121212121E-2</v>
      </c>
      <c r="R1086" s="19">
        <f t="shared" si="82"/>
        <v>1</v>
      </c>
      <c r="S1086" s="6">
        <f t="shared" si="83"/>
        <v>1</v>
      </c>
      <c r="T1086" s="5">
        <f t="shared" si="84"/>
        <v>1</v>
      </c>
    </row>
    <row r="1087" spans="2:20" x14ac:dyDescent="0.25">
      <c r="B1087" t="s">
        <v>494</v>
      </c>
      <c r="C1087">
        <v>1</v>
      </c>
      <c r="G1087">
        <v>1</v>
      </c>
      <c r="K1087">
        <v>1</v>
      </c>
      <c r="L1087">
        <v>0</v>
      </c>
      <c r="M1087">
        <v>1</v>
      </c>
      <c r="N1087">
        <v>4</v>
      </c>
      <c r="O1087" s="1">
        <v>4</v>
      </c>
      <c r="P1087" s="11">
        <f t="shared" si="80"/>
        <v>0.36363636363636365</v>
      </c>
      <c r="Q1087" s="11">
        <f t="shared" si="81"/>
        <v>1.2121212121212121E-2</v>
      </c>
      <c r="R1087" s="19">
        <f t="shared" si="82"/>
        <v>1</v>
      </c>
      <c r="S1087" s="6">
        <f t="shared" si="83"/>
        <v>1</v>
      </c>
      <c r="T1087" s="5">
        <f t="shared" si="84"/>
        <v>1</v>
      </c>
    </row>
    <row r="1088" spans="2:20" x14ac:dyDescent="0.25">
      <c r="B1088" t="s">
        <v>641</v>
      </c>
      <c r="D1088">
        <v>0</v>
      </c>
      <c r="F1088">
        <v>2</v>
      </c>
      <c r="K1088">
        <v>1</v>
      </c>
      <c r="L1088">
        <v>2</v>
      </c>
      <c r="M1088">
        <v>2</v>
      </c>
      <c r="N1088">
        <v>7</v>
      </c>
      <c r="O1088" s="1">
        <v>7</v>
      </c>
      <c r="P1088" s="11">
        <f t="shared" si="80"/>
        <v>0.63636363636363635</v>
      </c>
      <c r="Q1088" s="11">
        <f t="shared" si="81"/>
        <v>2.1212121212121213E-2</v>
      </c>
      <c r="R1088" s="19">
        <f t="shared" si="82"/>
        <v>1</v>
      </c>
      <c r="S1088" s="6">
        <f t="shared" si="83"/>
        <v>1</v>
      </c>
      <c r="T1088" s="5">
        <f t="shared" si="84"/>
        <v>1</v>
      </c>
    </row>
    <row r="1089" spans="2:20" x14ac:dyDescent="0.25">
      <c r="B1089" t="s">
        <v>642</v>
      </c>
      <c r="D1089">
        <v>0</v>
      </c>
      <c r="H1089">
        <v>6</v>
      </c>
      <c r="I1089">
        <v>7</v>
      </c>
      <c r="N1089">
        <v>13</v>
      </c>
      <c r="O1089" s="1">
        <v>13</v>
      </c>
      <c r="P1089" s="11">
        <f t="shared" si="80"/>
        <v>1.1818181818181819</v>
      </c>
      <c r="Q1089" s="11">
        <f t="shared" si="81"/>
        <v>3.9393939393939398E-2</v>
      </c>
      <c r="R1089" s="19">
        <f t="shared" si="82"/>
        <v>1</v>
      </c>
      <c r="S1089" s="6">
        <f t="shared" si="83"/>
        <v>1</v>
      </c>
      <c r="T1089" s="5">
        <f t="shared" si="84"/>
        <v>1</v>
      </c>
    </row>
    <row r="1090" spans="2:20" x14ac:dyDescent="0.25">
      <c r="B1090" t="s">
        <v>495</v>
      </c>
      <c r="C1090">
        <v>4</v>
      </c>
      <c r="D1090">
        <v>1</v>
      </c>
      <c r="F1090">
        <v>1</v>
      </c>
      <c r="H1090">
        <v>1</v>
      </c>
      <c r="I1090">
        <v>2</v>
      </c>
      <c r="J1090">
        <v>1</v>
      </c>
      <c r="K1090">
        <v>3</v>
      </c>
      <c r="L1090">
        <v>1</v>
      </c>
      <c r="M1090">
        <v>1</v>
      </c>
      <c r="N1090">
        <v>15</v>
      </c>
      <c r="O1090" s="1">
        <v>15</v>
      </c>
      <c r="P1090" s="11">
        <f t="shared" si="80"/>
        <v>1.3636363636363635</v>
      </c>
      <c r="Q1090" s="11">
        <f t="shared" si="81"/>
        <v>4.5454545454545449E-2</v>
      </c>
      <c r="R1090" s="19">
        <f t="shared" si="82"/>
        <v>1</v>
      </c>
      <c r="S1090" s="6">
        <f t="shared" si="83"/>
        <v>1</v>
      </c>
      <c r="T1090" s="5">
        <f t="shared" si="84"/>
        <v>1</v>
      </c>
    </row>
    <row r="1091" spans="2:20" x14ac:dyDescent="0.25">
      <c r="B1091" t="s">
        <v>496</v>
      </c>
      <c r="C1091">
        <v>1</v>
      </c>
      <c r="N1091">
        <v>1</v>
      </c>
      <c r="O1091" s="1">
        <v>1</v>
      </c>
      <c r="P1091" s="11">
        <f t="shared" si="80"/>
        <v>9.0909090909090912E-2</v>
      </c>
      <c r="Q1091" s="11">
        <f t="shared" si="81"/>
        <v>3.0303030303030303E-3</v>
      </c>
      <c r="R1091" s="19">
        <f t="shared" si="82"/>
        <v>1</v>
      </c>
      <c r="S1091" s="6">
        <f t="shared" si="83"/>
        <v>1</v>
      </c>
      <c r="T1091" s="5">
        <f t="shared" si="84"/>
        <v>1</v>
      </c>
    </row>
    <row r="1092" spans="2:20" x14ac:dyDescent="0.25">
      <c r="B1092" t="s">
        <v>1109</v>
      </c>
      <c r="M1092">
        <v>1</v>
      </c>
      <c r="N1092">
        <v>1</v>
      </c>
      <c r="O1092" s="1">
        <v>1</v>
      </c>
      <c r="P1092" s="11">
        <f t="shared" si="80"/>
        <v>9.0909090909090912E-2</v>
      </c>
      <c r="Q1092" s="11">
        <f t="shared" si="81"/>
        <v>3.0303030303030303E-3</v>
      </c>
      <c r="R1092" s="19">
        <f t="shared" si="82"/>
        <v>1</v>
      </c>
      <c r="S1092" s="6">
        <f t="shared" si="83"/>
        <v>1</v>
      </c>
      <c r="T1092" s="5">
        <f t="shared" si="84"/>
        <v>1</v>
      </c>
    </row>
    <row r="1093" spans="2:20" x14ac:dyDescent="0.25">
      <c r="B1093" t="s">
        <v>739</v>
      </c>
      <c r="E1093">
        <v>2</v>
      </c>
      <c r="N1093">
        <v>2</v>
      </c>
      <c r="O1093" s="1">
        <v>2</v>
      </c>
      <c r="P1093" s="11">
        <f t="shared" si="80"/>
        <v>0.18181818181818182</v>
      </c>
      <c r="Q1093" s="11">
        <f t="shared" si="81"/>
        <v>6.0606060606060606E-3</v>
      </c>
      <c r="R1093" s="19">
        <f t="shared" si="82"/>
        <v>1</v>
      </c>
      <c r="S1093" s="6">
        <f t="shared" si="83"/>
        <v>1</v>
      </c>
      <c r="T1093" s="5">
        <f t="shared" si="84"/>
        <v>1</v>
      </c>
    </row>
    <row r="1094" spans="2:20" x14ac:dyDescent="0.25">
      <c r="B1094" t="s">
        <v>497</v>
      </c>
      <c r="C1094">
        <v>1</v>
      </c>
      <c r="G1094">
        <v>1</v>
      </c>
      <c r="I1094">
        <v>1</v>
      </c>
      <c r="J1094">
        <v>1</v>
      </c>
      <c r="K1094">
        <v>1</v>
      </c>
      <c r="N1094">
        <v>5</v>
      </c>
      <c r="O1094" s="1">
        <v>5</v>
      </c>
      <c r="P1094" s="11">
        <f t="shared" ref="P1094:P1114" si="85">O1094/11</f>
        <v>0.45454545454545453</v>
      </c>
      <c r="Q1094" s="11">
        <f t="shared" si="81"/>
        <v>1.515151515151515E-2</v>
      </c>
      <c r="R1094" s="19">
        <f t="shared" si="82"/>
        <v>1</v>
      </c>
      <c r="S1094" s="6">
        <f t="shared" si="83"/>
        <v>1</v>
      </c>
      <c r="T1094" s="5">
        <f t="shared" si="84"/>
        <v>1</v>
      </c>
    </row>
    <row r="1095" spans="2:20" x14ac:dyDescent="0.25">
      <c r="B1095" t="s">
        <v>643</v>
      </c>
      <c r="D1095">
        <v>1</v>
      </c>
      <c r="E1095">
        <v>2</v>
      </c>
      <c r="G1095">
        <v>1</v>
      </c>
      <c r="H1095">
        <v>1</v>
      </c>
      <c r="L1095">
        <v>1</v>
      </c>
      <c r="M1095">
        <v>4</v>
      </c>
      <c r="N1095">
        <v>10</v>
      </c>
      <c r="O1095" s="1">
        <v>10</v>
      </c>
      <c r="P1095" s="11">
        <f t="shared" si="85"/>
        <v>0.90909090909090906</v>
      </c>
      <c r="Q1095" s="11">
        <f t="shared" ref="Q1095:Q1114" si="86">P1095/30</f>
        <v>3.03030303030303E-2</v>
      </c>
      <c r="R1095" s="19">
        <f t="shared" ref="R1095:R1114" si="87">ODD(Q1095*14)</f>
        <v>1</v>
      </c>
      <c r="S1095" s="6">
        <f t="shared" ref="S1095:S1114" si="88">ODD(Q1095*10.5)</f>
        <v>1</v>
      </c>
      <c r="T1095" s="5">
        <f t="shared" ref="T1095:T1114" si="89">ODD(Q1095*7)</f>
        <v>1</v>
      </c>
    </row>
    <row r="1096" spans="2:20" x14ac:dyDescent="0.25">
      <c r="B1096" t="s">
        <v>740</v>
      </c>
      <c r="E1096">
        <v>1</v>
      </c>
      <c r="I1096">
        <v>1</v>
      </c>
      <c r="K1096">
        <v>1</v>
      </c>
      <c r="N1096">
        <v>3</v>
      </c>
      <c r="O1096" s="1">
        <v>3</v>
      </c>
      <c r="P1096" s="11">
        <f t="shared" si="85"/>
        <v>0.27272727272727271</v>
      </c>
      <c r="Q1096" s="11">
        <f t="shared" si="86"/>
        <v>9.0909090909090905E-3</v>
      </c>
      <c r="R1096" s="19">
        <f t="shared" si="87"/>
        <v>1</v>
      </c>
      <c r="S1096" s="6">
        <f t="shared" si="88"/>
        <v>1</v>
      </c>
      <c r="T1096" s="5">
        <f t="shared" si="89"/>
        <v>1</v>
      </c>
    </row>
    <row r="1097" spans="2:20" x14ac:dyDescent="0.25">
      <c r="B1097" t="s">
        <v>1077</v>
      </c>
      <c r="L1097">
        <v>1</v>
      </c>
      <c r="N1097">
        <v>1</v>
      </c>
      <c r="O1097" s="1">
        <v>1</v>
      </c>
      <c r="P1097" s="11">
        <f t="shared" si="85"/>
        <v>9.0909090909090912E-2</v>
      </c>
      <c r="Q1097" s="11">
        <f t="shared" si="86"/>
        <v>3.0303030303030303E-3</v>
      </c>
      <c r="R1097" s="19">
        <f t="shared" si="87"/>
        <v>1</v>
      </c>
      <c r="S1097" s="6">
        <f t="shared" si="88"/>
        <v>1</v>
      </c>
      <c r="T1097" s="5">
        <f t="shared" si="89"/>
        <v>1</v>
      </c>
    </row>
    <row r="1098" spans="2:20" x14ac:dyDescent="0.25">
      <c r="B1098" t="s">
        <v>988</v>
      </c>
      <c r="J1098">
        <v>1</v>
      </c>
      <c r="N1098">
        <v>1</v>
      </c>
      <c r="O1098" s="1">
        <v>1</v>
      </c>
      <c r="P1098" s="11">
        <f t="shared" si="85"/>
        <v>9.0909090909090912E-2</v>
      </c>
      <c r="Q1098" s="11">
        <f t="shared" si="86"/>
        <v>3.0303030303030303E-3</v>
      </c>
      <c r="R1098" s="19">
        <f t="shared" si="87"/>
        <v>1</v>
      </c>
      <c r="S1098" s="6">
        <f t="shared" si="88"/>
        <v>1</v>
      </c>
      <c r="T1098" s="5">
        <f t="shared" si="89"/>
        <v>1</v>
      </c>
    </row>
    <row r="1099" spans="2:20" x14ac:dyDescent="0.25">
      <c r="B1099" t="s">
        <v>989</v>
      </c>
      <c r="J1099">
        <v>1</v>
      </c>
      <c r="N1099">
        <v>1</v>
      </c>
      <c r="O1099" s="1">
        <v>1</v>
      </c>
      <c r="P1099" s="11">
        <f t="shared" si="85"/>
        <v>9.0909090909090912E-2</v>
      </c>
      <c r="Q1099" s="11">
        <f t="shared" si="86"/>
        <v>3.0303030303030303E-3</v>
      </c>
      <c r="R1099" s="19">
        <f t="shared" si="87"/>
        <v>1</v>
      </c>
      <c r="S1099" s="6">
        <f t="shared" si="88"/>
        <v>1</v>
      </c>
      <c r="T1099" s="5">
        <f t="shared" si="89"/>
        <v>1</v>
      </c>
    </row>
    <row r="1100" spans="2:20" x14ac:dyDescent="0.25">
      <c r="B1100" t="s">
        <v>990</v>
      </c>
      <c r="J1100">
        <v>2</v>
      </c>
      <c r="N1100">
        <v>2</v>
      </c>
      <c r="O1100" s="1">
        <v>2</v>
      </c>
      <c r="P1100" s="11">
        <f t="shared" si="85"/>
        <v>0.18181818181818182</v>
      </c>
      <c r="Q1100" s="11">
        <f t="shared" si="86"/>
        <v>6.0606060606060606E-3</v>
      </c>
      <c r="R1100" s="19">
        <f t="shared" si="87"/>
        <v>1</v>
      </c>
      <c r="S1100" s="6">
        <f t="shared" si="88"/>
        <v>1</v>
      </c>
      <c r="T1100" s="5">
        <f t="shared" si="89"/>
        <v>1</v>
      </c>
    </row>
    <row r="1101" spans="2:20" x14ac:dyDescent="0.25">
      <c r="B1101" t="s">
        <v>644</v>
      </c>
      <c r="D1101">
        <v>1</v>
      </c>
      <c r="N1101">
        <v>1</v>
      </c>
      <c r="O1101" s="1">
        <v>1</v>
      </c>
      <c r="P1101" s="11">
        <f t="shared" si="85"/>
        <v>9.0909090909090912E-2</v>
      </c>
      <c r="Q1101" s="11">
        <f t="shared" si="86"/>
        <v>3.0303030303030303E-3</v>
      </c>
      <c r="R1101" s="19">
        <f t="shared" si="87"/>
        <v>1</v>
      </c>
      <c r="S1101" s="6">
        <f t="shared" si="88"/>
        <v>1</v>
      </c>
      <c r="T1101" s="5">
        <f t="shared" si="89"/>
        <v>1</v>
      </c>
    </row>
    <row r="1102" spans="2:20" x14ac:dyDescent="0.25">
      <c r="B1102" t="s">
        <v>1110</v>
      </c>
      <c r="M1102">
        <v>1</v>
      </c>
      <c r="N1102">
        <v>1</v>
      </c>
      <c r="O1102" s="1">
        <v>1</v>
      </c>
      <c r="P1102" s="11">
        <f t="shared" si="85"/>
        <v>9.0909090909090912E-2</v>
      </c>
      <c r="Q1102" s="11">
        <f t="shared" si="86"/>
        <v>3.0303030303030303E-3</v>
      </c>
      <c r="R1102" s="19">
        <f t="shared" si="87"/>
        <v>1</v>
      </c>
      <c r="S1102" s="6">
        <f t="shared" si="88"/>
        <v>1</v>
      </c>
      <c r="T1102" s="5">
        <f t="shared" si="89"/>
        <v>1</v>
      </c>
    </row>
    <row r="1103" spans="2:20" x14ac:dyDescent="0.25">
      <c r="B1103" t="s">
        <v>1033</v>
      </c>
      <c r="K1103">
        <v>1</v>
      </c>
      <c r="M1103">
        <v>1</v>
      </c>
      <c r="N1103">
        <v>2</v>
      </c>
      <c r="O1103" s="1">
        <v>2</v>
      </c>
      <c r="P1103" s="11">
        <f t="shared" si="85"/>
        <v>0.18181818181818182</v>
      </c>
      <c r="Q1103" s="11">
        <f t="shared" si="86"/>
        <v>6.0606060606060606E-3</v>
      </c>
      <c r="R1103" s="19">
        <f t="shared" si="87"/>
        <v>1</v>
      </c>
      <c r="S1103" s="6">
        <f t="shared" si="88"/>
        <v>1</v>
      </c>
      <c r="T1103" s="5">
        <f t="shared" si="89"/>
        <v>1</v>
      </c>
    </row>
    <row r="1104" spans="2:20" x14ac:dyDescent="0.25">
      <c r="B1104" t="s">
        <v>1078</v>
      </c>
      <c r="L1104">
        <v>1</v>
      </c>
      <c r="M1104">
        <v>1</v>
      </c>
      <c r="N1104">
        <v>2</v>
      </c>
      <c r="O1104" s="1">
        <v>2</v>
      </c>
      <c r="P1104" s="11">
        <f t="shared" si="85"/>
        <v>0.18181818181818182</v>
      </c>
      <c r="Q1104" s="11">
        <f t="shared" si="86"/>
        <v>6.0606060606060606E-3</v>
      </c>
      <c r="R1104" s="19">
        <f t="shared" si="87"/>
        <v>1</v>
      </c>
      <c r="S1104" s="6">
        <f t="shared" si="88"/>
        <v>1</v>
      </c>
      <c r="T1104" s="5">
        <f t="shared" si="89"/>
        <v>1</v>
      </c>
    </row>
    <row r="1105" spans="2:20" x14ac:dyDescent="0.25">
      <c r="B1105" t="s">
        <v>912</v>
      </c>
      <c r="H1105">
        <v>2</v>
      </c>
      <c r="J1105">
        <v>2</v>
      </c>
      <c r="N1105">
        <v>4</v>
      </c>
      <c r="O1105" s="1">
        <v>4</v>
      </c>
      <c r="P1105" s="11">
        <f t="shared" si="85"/>
        <v>0.36363636363636365</v>
      </c>
      <c r="Q1105" s="11">
        <f t="shared" si="86"/>
        <v>1.2121212121212121E-2</v>
      </c>
      <c r="R1105" s="19">
        <f t="shared" si="87"/>
        <v>1</v>
      </c>
      <c r="S1105" s="6">
        <f t="shared" si="88"/>
        <v>1</v>
      </c>
      <c r="T1105" s="5">
        <f t="shared" si="89"/>
        <v>1</v>
      </c>
    </row>
    <row r="1106" spans="2:20" x14ac:dyDescent="0.25">
      <c r="B1106" t="s">
        <v>809</v>
      </c>
      <c r="F1106">
        <v>1</v>
      </c>
      <c r="N1106">
        <v>1</v>
      </c>
      <c r="O1106" s="1">
        <v>1</v>
      </c>
      <c r="P1106" s="11">
        <f t="shared" si="85"/>
        <v>9.0909090909090912E-2</v>
      </c>
      <c r="Q1106" s="11">
        <f t="shared" si="86"/>
        <v>3.0303030303030303E-3</v>
      </c>
      <c r="R1106" s="19">
        <f t="shared" si="87"/>
        <v>1</v>
      </c>
      <c r="S1106" s="6">
        <f t="shared" si="88"/>
        <v>1</v>
      </c>
      <c r="T1106" s="5">
        <f t="shared" si="89"/>
        <v>1</v>
      </c>
    </row>
    <row r="1107" spans="2:20" x14ac:dyDescent="0.25">
      <c r="B1107" t="s">
        <v>645</v>
      </c>
      <c r="D1107">
        <v>2</v>
      </c>
      <c r="J1107">
        <v>1</v>
      </c>
      <c r="K1107">
        <v>1</v>
      </c>
      <c r="N1107">
        <v>4</v>
      </c>
      <c r="O1107" s="1">
        <v>4</v>
      </c>
      <c r="P1107" s="11">
        <f t="shared" si="85"/>
        <v>0.36363636363636365</v>
      </c>
      <c r="Q1107" s="11">
        <f t="shared" si="86"/>
        <v>1.2121212121212121E-2</v>
      </c>
      <c r="R1107" s="19">
        <f t="shared" si="87"/>
        <v>1</v>
      </c>
      <c r="S1107" s="6">
        <f t="shared" si="88"/>
        <v>1</v>
      </c>
      <c r="T1107" s="5">
        <f t="shared" si="89"/>
        <v>1</v>
      </c>
    </row>
    <row r="1108" spans="2:20" x14ac:dyDescent="0.25">
      <c r="B1108" t="s">
        <v>810</v>
      </c>
      <c r="F1108">
        <v>1</v>
      </c>
      <c r="N1108">
        <v>1</v>
      </c>
      <c r="O1108" s="1">
        <v>1</v>
      </c>
      <c r="P1108" s="11">
        <f t="shared" si="85"/>
        <v>9.0909090909090912E-2</v>
      </c>
      <c r="Q1108" s="11">
        <f t="shared" si="86"/>
        <v>3.0303030303030303E-3</v>
      </c>
      <c r="R1108" s="19">
        <f t="shared" si="87"/>
        <v>1</v>
      </c>
      <c r="S1108" s="6">
        <f t="shared" si="88"/>
        <v>1</v>
      </c>
      <c r="T1108" s="5">
        <f t="shared" si="89"/>
        <v>1</v>
      </c>
    </row>
    <row r="1109" spans="2:20" x14ac:dyDescent="0.25">
      <c r="B1109" t="s">
        <v>498</v>
      </c>
      <c r="C1109">
        <v>2</v>
      </c>
      <c r="N1109">
        <v>2</v>
      </c>
      <c r="O1109" s="1">
        <v>2</v>
      </c>
      <c r="P1109" s="11">
        <f t="shared" si="85"/>
        <v>0.18181818181818182</v>
      </c>
      <c r="Q1109" s="11">
        <f t="shared" si="86"/>
        <v>6.0606060606060606E-3</v>
      </c>
      <c r="R1109" s="19">
        <f t="shared" si="87"/>
        <v>1</v>
      </c>
      <c r="S1109" s="6">
        <f t="shared" si="88"/>
        <v>1</v>
      </c>
      <c r="T1109" s="5">
        <f t="shared" si="89"/>
        <v>1</v>
      </c>
    </row>
    <row r="1110" spans="2:20" x14ac:dyDescent="0.25">
      <c r="B1110" t="s">
        <v>499</v>
      </c>
      <c r="C1110">
        <v>1</v>
      </c>
      <c r="G1110">
        <v>1</v>
      </c>
      <c r="N1110">
        <v>2</v>
      </c>
      <c r="O1110" s="1">
        <v>2</v>
      </c>
      <c r="P1110" s="11">
        <f t="shared" si="85"/>
        <v>0.18181818181818182</v>
      </c>
      <c r="Q1110" s="11">
        <f t="shared" si="86"/>
        <v>6.0606060606060606E-3</v>
      </c>
      <c r="R1110" s="19">
        <f t="shared" si="87"/>
        <v>1</v>
      </c>
      <c r="S1110" s="6">
        <f t="shared" si="88"/>
        <v>1</v>
      </c>
      <c r="T1110" s="5">
        <f t="shared" si="89"/>
        <v>1</v>
      </c>
    </row>
    <row r="1111" spans="2:20" x14ac:dyDescent="0.25">
      <c r="B1111" t="s">
        <v>1079</v>
      </c>
      <c r="L1111">
        <v>1</v>
      </c>
      <c r="N1111">
        <v>1</v>
      </c>
      <c r="O1111" s="1">
        <v>1</v>
      </c>
      <c r="P1111" s="11">
        <f t="shared" si="85"/>
        <v>9.0909090909090912E-2</v>
      </c>
      <c r="Q1111" s="11">
        <f t="shared" si="86"/>
        <v>3.0303030303030303E-3</v>
      </c>
      <c r="R1111" s="19">
        <f t="shared" si="87"/>
        <v>1</v>
      </c>
      <c r="S1111" s="6">
        <f t="shared" si="88"/>
        <v>1</v>
      </c>
      <c r="T1111" s="5">
        <f t="shared" si="89"/>
        <v>1</v>
      </c>
    </row>
    <row r="1112" spans="2:20" x14ac:dyDescent="0.25">
      <c r="B1112" t="s">
        <v>646</v>
      </c>
      <c r="D1112">
        <v>2</v>
      </c>
      <c r="E1112">
        <v>1</v>
      </c>
      <c r="H1112">
        <v>1</v>
      </c>
      <c r="I1112">
        <v>0</v>
      </c>
      <c r="L1112">
        <v>2</v>
      </c>
      <c r="N1112">
        <v>6</v>
      </c>
      <c r="O1112" s="1">
        <v>6</v>
      </c>
      <c r="P1112" s="11">
        <f t="shared" si="85"/>
        <v>0.54545454545454541</v>
      </c>
      <c r="Q1112" s="11">
        <f t="shared" si="86"/>
        <v>1.8181818181818181E-2</v>
      </c>
      <c r="R1112" s="19">
        <f t="shared" si="87"/>
        <v>1</v>
      </c>
      <c r="S1112" s="6">
        <f t="shared" si="88"/>
        <v>1</v>
      </c>
      <c r="T1112" s="5">
        <f t="shared" si="89"/>
        <v>1</v>
      </c>
    </row>
    <row r="1113" spans="2:20" x14ac:dyDescent="0.25">
      <c r="B1113" t="s">
        <v>500</v>
      </c>
      <c r="C1113">
        <v>9</v>
      </c>
      <c r="D1113">
        <v>20</v>
      </c>
      <c r="E1113">
        <v>16</v>
      </c>
      <c r="F1113">
        <v>6</v>
      </c>
      <c r="G1113">
        <v>6</v>
      </c>
      <c r="H1113">
        <v>51</v>
      </c>
      <c r="I1113">
        <v>14</v>
      </c>
      <c r="J1113">
        <v>13</v>
      </c>
      <c r="L1113">
        <v>17</v>
      </c>
      <c r="N1113">
        <v>152</v>
      </c>
      <c r="O1113" s="1">
        <v>152</v>
      </c>
      <c r="P1113" s="11">
        <f t="shared" si="85"/>
        <v>13.818181818181818</v>
      </c>
      <c r="Q1113" s="11">
        <f t="shared" si="86"/>
        <v>0.46060606060606063</v>
      </c>
      <c r="R1113" s="19">
        <f t="shared" si="87"/>
        <v>7</v>
      </c>
      <c r="S1113" s="6">
        <f t="shared" si="88"/>
        <v>5</v>
      </c>
      <c r="T1113" s="5">
        <f t="shared" si="89"/>
        <v>5</v>
      </c>
    </row>
    <row r="1114" spans="2:20" x14ac:dyDescent="0.25">
      <c r="B1114" t="s">
        <v>501</v>
      </c>
      <c r="C1114">
        <v>1</v>
      </c>
      <c r="H1114">
        <v>1</v>
      </c>
      <c r="N1114">
        <v>2</v>
      </c>
      <c r="O1114" s="1">
        <v>2</v>
      </c>
      <c r="P1114" s="11">
        <f t="shared" si="85"/>
        <v>0.18181818181818182</v>
      </c>
      <c r="Q1114" s="11">
        <f t="shared" si="86"/>
        <v>6.0606060606060606E-3</v>
      </c>
      <c r="R1114" s="19">
        <f t="shared" si="87"/>
        <v>1</v>
      </c>
      <c r="S1114" s="6">
        <f t="shared" si="88"/>
        <v>1</v>
      </c>
      <c r="T1114" s="5">
        <f t="shared" si="89"/>
        <v>1</v>
      </c>
    </row>
    <row r="1115" spans="2:20" x14ac:dyDescent="0.25">
      <c r="B1115" s="12" t="s">
        <v>1112</v>
      </c>
      <c r="C1115" s="13">
        <v>9428</v>
      </c>
      <c r="D1115" s="13">
        <v>7275</v>
      </c>
      <c r="E1115" s="13">
        <v>5412</v>
      </c>
      <c r="F1115" s="13">
        <v>4800</v>
      </c>
      <c r="G1115" s="13">
        <v>6395</v>
      </c>
      <c r="H1115" s="13">
        <v>7199</v>
      </c>
      <c r="I1115" s="13">
        <v>5864</v>
      </c>
      <c r="J1115" s="13">
        <v>5320</v>
      </c>
      <c r="K1115" s="13">
        <v>5932</v>
      </c>
      <c r="L1115" s="13">
        <v>7760</v>
      </c>
      <c r="M1115" s="13">
        <v>6545</v>
      </c>
      <c r="N1115" s="14">
        <v>71930</v>
      </c>
      <c r="O1115" s="15">
        <v>71930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Puntos de Reorden (TRABAJ)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Jefatura de Farmacia en el HE</cp:lastModifiedBy>
  <dcterms:created xsi:type="dcterms:W3CDTF">2022-08-09T23:38:55Z</dcterms:created>
  <dcterms:modified xsi:type="dcterms:W3CDTF">2026-08-24T18:14:13Z</dcterms:modified>
</cp:coreProperties>
</file>